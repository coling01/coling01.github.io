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0" windowWidth="15600" windowHeight="7200" activeTab="4"/>
  </bookViews>
  <sheets>
    <sheet name="Players" sheetId="1" r:id="rId1"/>
    <sheet name="Squads" sheetId="5" r:id="rId2"/>
    <sheet name="League" sheetId="6" r:id="rId3"/>
    <sheet name="Gameweeks" sheetId="3" r:id="rId4"/>
    <sheet name="Running" sheetId="7" r:id="rId5"/>
  </sheets>
  <functionGroups/>
  <definedNames>
    <definedName name="_xlnm._FilterDatabase" localSheetId="2" hidden="1">League!$AI$1:$AL$217</definedName>
    <definedName name="_xlnm._FilterDatabase" localSheetId="0" hidden="1">Players!$CW$1:$DO$361</definedName>
    <definedName name="fwdnum">Players!$CL$7</definedName>
    <definedName name="getlineups">League!$AD$4</definedName>
    <definedName name="glob">League!$AD$5</definedName>
    <definedName name="leaguepin">League!$AD$3</definedName>
    <definedName name="matches">Gameweeks!$E$2:$E$528</definedName>
    <definedName name="midnum">Players!$CL$6</definedName>
    <definedName name="multi">#REF!</definedName>
    <definedName name="my">League!$AD$6</definedName>
    <definedName name="OpenSolver_ChosenSolver" localSheetId="0" hidden="1">CBC</definedName>
    <definedName name="OpenSolver_DualsNewSheet" localSheetId="0" hidden="1">FALSE</definedName>
    <definedName name="OpenSolver_LinearityCheck" localSheetId="0" hidden="1">1</definedName>
    <definedName name="OpenSolver_UpdateSensitivity" localSheetId="0" hidden="1">TRUE</definedName>
    <definedName name="playerlook">Players!$BQ$2:$BV$457</definedName>
    <definedName name="resul">Players!$DG$3</definedName>
    <definedName name="rowstart">#REF!</definedName>
    <definedName name="session">League!$AD$1</definedName>
    <definedName name="size">League!$AD$2</definedName>
    <definedName name="solver_adj" localSheetId="0" hidden="1">Players!$CD$15:$CD$409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999999999</definedName>
    <definedName name="solver_lhs1" localSheetId="0" hidden="1">Players!$CD$15:$CD$409</definedName>
    <definedName name="solver_lhs2" localSheetId="0" hidden="1">Players!$CK$4</definedName>
    <definedName name="solver_lhs3" localSheetId="0" hidden="1">Players!$CK$5</definedName>
    <definedName name="solver_lhs4" localSheetId="0" hidden="1">Players!$CK$6</definedName>
    <definedName name="solver_lhs5" localSheetId="0" hidden="1">Players!$CK$7</definedName>
    <definedName name="solver_lhs6" localSheetId="0" hidden="1">Players!$CK$3</definedName>
    <definedName name="solver_neg" localSheetId="0" hidden="1">1</definedName>
    <definedName name="solver_num" localSheetId="0" hidden="1">6</definedName>
    <definedName name="solver_nwt" localSheetId="0" hidden="1">1</definedName>
    <definedName name="solver_opt" localSheetId="0" hidden="1">Players!$CM$8</definedName>
    <definedName name="solver_pre" localSheetId="0" hidden="1">0.000001</definedName>
    <definedName name="solver_rel1" localSheetId="0" hidden="1">5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1</definedName>
    <definedName name="solver_rhs1" localSheetId="0" hidden="1">binary</definedName>
    <definedName name="solver_rhs2" localSheetId="0" hidden="1">Players!$CL$4</definedName>
    <definedName name="solver_rhs3" localSheetId="0" hidden="1">Players!$CL$5</definedName>
    <definedName name="solver_rhs4" localSheetId="0" hidden="1">Players!$CL$6</definedName>
    <definedName name="solver_rhs5" localSheetId="0" hidden="1">Players!$CL$7</definedName>
    <definedName name="solver_rhs6" localSheetId="0" hidden="1">50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</definedName>
    <definedName name="solver_tol" localSheetId="0" hidden="1">0.05</definedName>
    <definedName name="solver_typ" localSheetId="0" hidden="1">1</definedName>
    <definedName name="solver_val" localSheetId="0" hidden="1">0</definedName>
    <definedName name="teamc">Players!$DG$2</definedName>
    <definedName name="vDEF">Players!$BR$32:$BR$178</definedName>
    <definedName name="vF">Players!$BR$368:$BR$457</definedName>
    <definedName name="vGK">Players!$BR$2:$BR$31</definedName>
    <definedName name="vMID">Players!$BR$179:$BR$367</definedName>
    <definedName name="vMIDF">Players!$BR$179:$BR$457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6" i="1"/>
  <c r="D376"/>
  <c r="E375"/>
  <c r="D375"/>
  <c r="E374"/>
  <c r="D374"/>
  <c r="E373"/>
  <c r="D373"/>
  <c r="E372"/>
  <c r="D372"/>
  <c r="E371"/>
  <c r="D371"/>
  <c r="E370"/>
  <c r="D370"/>
  <c r="E369"/>
  <c r="D369"/>
  <c r="E368"/>
  <c r="D368"/>
  <c r="E367"/>
  <c r="D367"/>
  <c r="E366"/>
  <c r="D366"/>
  <c r="E365"/>
  <c r="D365"/>
  <c r="E364"/>
  <c r="D364"/>
  <c r="E363"/>
  <c r="D363"/>
  <c r="E362"/>
  <c r="D362"/>
  <c r="E361"/>
  <c r="D361"/>
  <c r="E360"/>
  <c r="D360"/>
  <c r="E359"/>
  <c r="D359"/>
  <c r="E358"/>
  <c r="D358"/>
  <c r="E357"/>
  <c r="D357"/>
  <c r="E356"/>
  <c r="D356"/>
  <c r="E355"/>
  <c r="D355"/>
  <c r="E354"/>
  <c r="D354"/>
  <c r="E353"/>
  <c r="D353"/>
  <c r="E352"/>
  <c r="D352"/>
  <c r="E351"/>
  <c r="D351"/>
  <c r="E350"/>
  <c r="D350"/>
  <c r="E349"/>
  <c r="D349"/>
  <c r="E348"/>
  <c r="D348"/>
  <c r="E347"/>
  <c r="D347"/>
  <c r="E346"/>
  <c r="D346"/>
  <c r="E345"/>
  <c r="D345"/>
  <c r="E344"/>
  <c r="D344"/>
  <c r="E343"/>
  <c r="D343"/>
  <c r="E342"/>
  <c r="D342"/>
  <c r="E341"/>
  <c r="D341"/>
  <c r="E340"/>
  <c r="D340"/>
  <c r="E339"/>
  <c r="D339"/>
  <c r="E338"/>
  <c r="D338"/>
  <c r="E337"/>
  <c r="D337"/>
  <c r="E336"/>
  <c r="D336"/>
  <c r="E335"/>
  <c r="D335"/>
  <c r="E334"/>
  <c r="D334"/>
  <c r="E333"/>
  <c r="D333"/>
  <c r="E332"/>
  <c r="D332"/>
  <c r="E331"/>
  <c r="D331"/>
  <c r="E330"/>
  <c r="D330"/>
  <c r="E329"/>
  <c r="D329"/>
  <c r="E328"/>
  <c r="D328"/>
  <c r="E327"/>
  <c r="D327"/>
  <c r="E326"/>
  <c r="D326"/>
  <c r="E325"/>
  <c r="D325"/>
  <c r="E324"/>
  <c r="D324"/>
  <c r="E323"/>
  <c r="D323"/>
  <c r="E322"/>
  <c r="D322"/>
  <c r="E321"/>
  <c r="D321"/>
  <c r="E320"/>
  <c r="D320"/>
  <c r="E319"/>
  <c r="D319"/>
  <c r="E318"/>
  <c r="D318"/>
  <c r="E317"/>
  <c r="D317"/>
  <c r="E316"/>
  <c r="D316"/>
  <c r="E315"/>
  <c r="D315"/>
  <c r="E314"/>
  <c r="D314"/>
  <c r="E313"/>
  <c r="D313"/>
  <c r="E312"/>
  <c r="D312"/>
  <c r="E311"/>
  <c r="D311"/>
  <c r="E310"/>
  <c r="D310"/>
  <c r="E309"/>
  <c r="D309"/>
  <c r="E308"/>
  <c r="D308"/>
  <c r="E307"/>
  <c r="D307"/>
  <c r="E306"/>
  <c r="D306"/>
  <c r="E305"/>
  <c r="D305"/>
  <c r="E304"/>
  <c r="D304"/>
  <c r="E303"/>
  <c r="D303"/>
  <c r="E302"/>
  <c r="D302"/>
  <c r="E301"/>
  <c r="D301"/>
  <c r="E300"/>
  <c r="D300"/>
  <c r="E299"/>
  <c r="D299"/>
  <c r="E298"/>
  <c r="D298"/>
  <c r="E297"/>
  <c r="D297"/>
  <c r="E296"/>
  <c r="D296"/>
  <c r="E295"/>
  <c r="D295"/>
  <c r="E294"/>
  <c r="D294"/>
  <c r="E293"/>
  <c r="D293"/>
  <c r="E292"/>
  <c r="D292"/>
  <c r="E291"/>
  <c r="D291"/>
  <c r="E290"/>
  <c r="D290"/>
  <c r="E289"/>
  <c r="D289"/>
  <c r="E288"/>
  <c r="D288"/>
  <c r="E287"/>
  <c r="D287"/>
  <c r="E286"/>
  <c r="D286"/>
  <c r="E285"/>
  <c r="D285"/>
  <c r="E284"/>
  <c r="D284"/>
  <c r="E283"/>
  <c r="D283"/>
  <c r="E282"/>
  <c r="D282"/>
  <c r="E281"/>
  <c r="D281"/>
  <c r="E280"/>
  <c r="D280"/>
  <c r="E279"/>
  <c r="D279"/>
  <c r="E278"/>
  <c r="D278"/>
  <c r="E277"/>
  <c r="D277"/>
  <c r="E276"/>
  <c r="D276"/>
  <c r="E275"/>
  <c r="D275"/>
  <c r="E274"/>
  <c r="D274"/>
  <c r="E273"/>
  <c r="D273"/>
  <c r="E272"/>
  <c r="D272"/>
  <c r="E271"/>
  <c r="D271"/>
  <c r="E270"/>
  <c r="D270"/>
  <c r="E269"/>
  <c r="D269"/>
  <c r="E268"/>
  <c r="D268"/>
  <c r="E267"/>
  <c r="D267"/>
  <c r="E266"/>
  <c r="D266"/>
  <c r="E265"/>
  <c r="D265"/>
  <c r="E264"/>
  <c r="D264"/>
  <c r="E263"/>
  <c r="D263"/>
  <c r="E262"/>
  <c r="D262"/>
  <c r="E261"/>
  <c r="D261"/>
  <c r="E260"/>
  <c r="D260"/>
  <c r="E259"/>
  <c r="D259"/>
  <c r="E258"/>
  <c r="D258"/>
  <c r="E257"/>
  <c r="D257"/>
  <c r="E256"/>
  <c r="D256"/>
  <c r="E255"/>
  <c r="D255"/>
  <c r="E254"/>
  <c r="D254"/>
  <c r="E253"/>
  <c r="D253"/>
  <c r="E252"/>
  <c r="D252"/>
  <c r="E251"/>
  <c r="D251"/>
  <c r="E250"/>
  <c r="D250"/>
  <c r="E249"/>
  <c r="D249"/>
  <c r="E248"/>
  <c r="D248"/>
  <c r="E247"/>
  <c r="D247"/>
  <c r="E246"/>
  <c r="D246"/>
  <c r="E245"/>
  <c r="D245"/>
  <c r="E244"/>
  <c r="D244"/>
  <c r="E243"/>
  <c r="D243"/>
  <c r="E242"/>
  <c r="D242"/>
  <c r="E241"/>
  <c r="D241"/>
  <c r="E240"/>
  <c r="D240"/>
  <c r="E239"/>
  <c r="D239"/>
  <c r="E238"/>
  <c r="D238"/>
  <c r="E237"/>
  <c r="D237"/>
  <c r="E236"/>
  <c r="D236"/>
  <c r="E235"/>
  <c r="D235"/>
  <c r="E234"/>
  <c r="D234"/>
  <c r="E233"/>
  <c r="D233"/>
  <c r="E232"/>
  <c r="D232"/>
  <c r="E231"/>
  <c r="D231"/>
  <c r="E230"/>
  <c r="D230"/>
  <c r="E229"/>
  <c r="D229"/>
  <c r="E228"/>
  <c r="D228"/>
  <c r="E227"/>
  <c r="D227"/>
  <c r="E226"/>
  <c r="D226"/>
  <c r="E225"/>
  <c r="D225"/>
  <c r="E224"/>
  <c r="D224"/>
  <c r="E223"/>
  <c r="D223"/>
  <c r="E222"/>
  <c r="D222"/>
  <c r="E221"/>
  <c r="D221"/>
  <c r="E220"/>
  <c r="D220"/>
  <c r="E219"/>
  <c r="D219"/>
  <c r="E218"/>
  <c r="D218"/>
  <c r="E217"/>
  <c r="D217"/>
  <c r="E216"/>
  <c r="D216"/>
  <c r="E215"/>
  <c r="D215"/>
  <c r="E214"/>
  <c r="D214"/>
  <c r="E213"/>
  <c r="D213"/>
  <c r="E212"/>
  <c r="D212"/>
  <c r="E211"/>
  <c r="D211"/>
  <c r="E210"/>
  <c r="D210"/>
  <c r="E209"/>
  <c r="D209"/>
  <c r="E208"/>
  <c r="D208"/>
  <c r="E207"/>
  <c r="D207"/>
  <c r="E206"/>
  <c r="D206"/>
  <c r="E205"/>
  <c r="D205"/>
  <c r="E204"/>
  <c r="D204"/>
  <c r="E203"/>
  <c r="D203"/>
  <c r="E202"/>
  <c r="D202"/>
  <c r="E201"/>
  <c r="D201"/>
  <c r="E200"/>
  <c r="D200"/>
  <c r="E199"/>
  <c r="D199"/>
  <c r="E198"/>
  <c r="D198"/>
  <c r="E197"/>
  <c r="D197"/>
  <c r="E196"/>
  <c r="D196"/>
  <c r="E195"/>
  <c r="D195"/>
  <c r="E194"/>
  <c r="D194"/>
  <c r="E193"/>
  <c r="D193"/>
  <c r="E192"/>
  <c r="D192"/>
  <c r="E191"/>
  <c r="D191"/>
  <c r="E190"/>
  <c r="D190"/>
  <c r="E189"/>
  <c r="D189"/>
  <c r="E188"/>
  <c r="D188"/>
  <c r="E187"/>
  <c r="D187"/>
  <c r="E186"/>
  <c r="D186"/>
  <c r="E185"/>
  <c r="D185"/>
  <c r="E184"/>
  <c r="D184"/>
  <c r="E183"/>
  <c r="D183"/>
  <c r="E182"/>
  <c r="D182"/>
  <c r="E181"/>
  <c r="D181"/>
  <c r="E180"/>
  <c r="D180"/>
  <c r="E179"/>
  <c r="D179"/>
  <c r="E178"/>
  <c r="D178"/>
  <c r="E177"/>
  <c r="D177"/>
  <c r="E176"/>
  <c r="D176"/>
  <c r="E175"/>
  <c r="D175"/>
  <c r="E174"/>
  <c r="D174"/>
  <c r="E173"/>
  <c r="D173"/>
  <c r="E172"/>
  <c r="D172"/>
  <c r="E171"/>
  <c r="D171"/>
  <c r="E170"/>
  <c r="D170"/>
  <c r="E169"/>
  <c r="D169"/>
  <c r="E168"/>
  <c r="D168"/>
  <c r="E167"/>
  <c r="D167"/>
  <c r="E166"/>
  <c r="D166"/>
  <c r="E165"/>
  <c r="D165"/>
  <c r="E164"/>
  <c r="D164"/>
  <c r="E163"/>
  <c r="D163"/>
  <c r="E162"/>
  <c r="D162"/>
  <c r="E161"/>
  <c r="D161"/>
  <c r="E160"/>
  <c r="D160"/>
  <c r="E159"/>
  <c r="D159"/>
  <c r="E158"/>
  <c r="D158"/>
  <c r="E157"/>
  <c r="D157"/>
  <c r="E156"/>
  <c r="D156"/>
  <c r="E155"/>
  <c r="D155"/>
  <c r="E154"/>
  <c r="D154"/>
  <c r="E153"/>
  <c r="D153"/>
  <c r="E152"/>
  <c r="D152"/>
  <c r="E151"/>
  <c r="D151"/>
  <c r="E150"/>
  <c r="D150"/>
  <c r="E149"/>
  <c r="D149"/>
  <c r="E148"/>
  <c r="D148"/>
  <c r="E147"/>
  <c r="D147"/>
  <c r="E146"/>
  <c r="D146"/>
  <c r="E145"/>
  <c r="D145"/>
  <c r="E144"/>
  <c r="D144"/>
  <c r="E143"/>
  <c r="D14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E131"/>
  <c r="D131"/>
  <c r="E130"/>
  <c r="D130"/>
  <c r="E129"/>
  <c r="D129"/>
  <c r="E128"/>
  <c r="D128"/>
  <c r="E127"/>
  <c r="D127"/>
  <c r="E126"/>
  <c r="D126"/>
  <c r="E125"/>
  <c r="D125"/>
  <c r="E124"/>
  <c r="D124"/>
  <c r="E123"/>
  <c r="D123"/>
  <c r="E122"/>
  <c r="D122"/>
  <c r="E121"/>
  <c r="D121"/>
  <c r="E120"/>
  <c r="D120"/>
  <c r="E119"/>
  <c r="D119"/>
  <c r="E118"/>
  <c r="D118"/>
  <c r="E117"/>
  <c r="D117"/>
  <c r="E116"/>
  <c r="D116"/>
  <c r="E115"/>
  <c r="D115"/>
  <c r="E114"/>
  <c r="D114"/>
  <c r="E113"/>
  <c r="D113"/>
  <c r="E112"/>
  <c r="D112"/>
  <c r="E111"/>
  <c r="D111"/>
  <c r="E110"/>
  <c r="D110"/>
  <c r="E109"/>
  <c r="D109"/>
  <c r="E108"/>
  <c r="D108"/>
  <c r="E107"/>
  <c r="D107"/>
  <c r="E106"/>
  <c r="D106"/>
  <c r="E105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S2" i="6"/>
  <c r="T2"/>
  <c r="U2"/>
  <c r="V2"/>
  <c r="W2"/>
  <c r="X2"/>
  <c r="Y2"/>
  <c r="Z2"/>
  <c r="AA2"/>
  <c r="AB2"/>
  <c r="S3"/>
  <c r="T3"/>
  <c r="U3"/>
  <c r="V3"/>
  <c r="W3"/>
  <c r="X3"/>
  <c r="Y3"/>
  <c r="Z3"/>
  <c r="AA3"/>
  <c r="AB3"/>
  <c r="S4"/>
  <c r="T4"/>
  <c r="U4"/>
  <c r="V4"/>
  <c r="W4"/>
  <c r="X4"/>
  <c r="Y4"/>
  <c r="Z4"/>
  <c r="AA4"/>
  <c r="AB4"/>
  <c r="S5"/>
  <c r="T5"/>
  <c r="U5"/>
  <c r="V5"/>
  <c r="W5"/>
  <c r="X5"/>
  <c r="Y5"/>
  <c r="Z5"/>
  <c r="AA5"/>
  <c r="AB5"/>
  <c r="S6"/>
  <c r="T6"/>
  <c r="U6"/>
  <c r="V6"/>
  <c r="W6"/>
  <c r="X6"/>
  <c r="Y6"/>
  <c r="Z6"/>
  <c r="AA6"/>
  <c r="AB6"/>
  <c r="S7"/>
  <c r="T7"/>
  <c r="U7"/>
  <c r="V7"/>
  <c r="W7"/>
  <c r="X7"/>
  <c r="Y7"/>
  <c r="Z7"/>
  <c r="AA7"/>
  <c r="AB7"/>
  <c r="S8"/>
  <c r="T8"/>
  <c r="U8"/>
  <c r="V8"/>
  <c r="W8"/>
  <c r="X8"/>
  <c r="Y8"/>
  <c r="Z8"/>
  <c r="AA8"/>
  <c r="AB8"/>
  <c r="S9"/>
  <c r="T9"/>
  <c r="U9"/>
  <c r="V9"/>
  <c r="W9"/>
  <c r="X9"/>
  <c r="Y9"/>
  <c r="Z9"/>
  <c r="AA9"/>
  <c r="AB9"/>
  <c r="S10"/>
  <c r="T10"/>
  <c r="U10"/>
  <c r="V10"/>
  <c r="W10"/>
  <c r="X10"/>
  <c r="Y10"/>
  <c r="Z10"/>
  <c r="AA10"/>
  <c r="AB10"/>
  <c r="S11"/>
  <c r="T11"/>
  <c r="U11"/>
  <c r="V11"/>
  <c r="W11"/>
  <c r="X11"/>
  <c r="Y11"/>
  <c r="Z11"/>
  <c r="AA11"/>
  <c r="AB11"/>
  <c r="R3"/>
  <c r="R4"/>
  <c r="R5"/>
  <c r="R6"/>
  <c r="R7"/>
  <c r="R8"/>
  <c r="R9"/>
  <c r="R10"/>
  <c r="R11"/>
  <c r="R2"/>
  <c r="O3" i="3" l="1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2"/>
</calcChain>
</file>

<file path=xl/sharedStrings.xml><?xml version="1.0" encoding="utf-8"?>
<sst xmlns="http://schemas.openxmlformats.org/spreadsheetml/2006/main" count="4227" uniqueCount="1337">
  <si>
    <t>playing</t>
  </si>
  <si>
    <t>Kevin</t>
  </si>
  <si>
    <t>De Bruyne</t>
  </si>
  <si>
    <t>David</t>
  </si>
  <si>
    <t>De Gea</t>
  </si>
  <si>
    <t>Luke</t>
  </si>
  <si>
    <t>Shaw</t>
  </si>
  <si>
    <t>Henrikh</t>
  </si>
  <si>
    <t>Mkhitaryan</t>
  </si>
  <si>
    <t>Hector</t>
  </si>
  <si>
    <t>Bellerin</t>
  </si>
  <si>
    <t>Eric</t>
  </si>
  <si>
    <t>Bailly</t>
  </si>
  <si>
    <t>Harry</t>
  </si>
  <si>
    <t>Kane</t>
  </si>
  <si>
    <t>Mesut</t>
  </si>
  <si>
    <t>Daley</t>
  </si>
  <si>
    <t>Blind</t>
  </si>
  <si>
    <t>Nathaniel</t>
  </si>
  <si>
    <t>Clyne</t>
  </si>
  <si>
    <t>id</t>
  </si>
  <si>
    <t>Sadio</t>
  </si>
  <si>
    <t>Aaron</t>
  </si>
  <si>
    <t>Cresswell</t>
  </si>
  <si>
    <t>Toby</t>
  </si>
  <si>
    <t>Alderweireld</t>
  </si>
  <si>
    <t>Romelu</t>
  </si>
  <si>
    <t>Lukaku</t>
  </si>
  <si>
    <t>Philippe</t>
  </si>
  <si>
    <t>Coutinho</t>
  </si>
  <si>
    <t>John</t>
  </si>
  <si>
    <t>Stones</t>
  </si>
  <si>
    <t>Anthony</t>
  </si>
  <si>
    <t>Martial</t>
  </si>
  <si>
    <t>Chris</t>
  </si>
  <si>
    <t>Smalling</t>
  </si>
  <si>
    <t>Eden</t>
  </si>
  <si>
    <t>Hazard</t>
  </si>
  <si>
    <t>Kyle</t>
  </si>
  <si>
    <t>Walker</t>
  </si>
  <si>
    <t>Alexis</t>
  </si>
  <si>
    <t>Dier</t>
  </si>
  <si>
    <t>Dele</t>
  </si>
  <si>
    <t>Alli</t>
  </si>
  <si>
    <t>Simon</t>
  </si>
  <si>
    <t>Mignolet</t>
  </si>
  <si>
    <t>Jose</t>
  </si>
  <si>
    <t>Fonte</t>
  </si>
  <si>
    <t>Daniel</t>
  </si>
  <si>
    <t>Sturridge</t>
  </si>
  <si>
    <t>Laurent</t>
  </si>
  <si>
    <t>Koscielny</t>
  </si>
  <si>
    <t>Fraser</t>
  </si>
  <si>
    <t>Forster</t>
  </si>
  <si>
    <t>Christian</t>
  </si>
  <si>
    <t>Eriksen</t>
  </si>
  <si>
    <t>Ross</t>
  </si>
  <si>
    <t>Barkley</t>
  </si>
  <si>
    <t>Riyad</t>
  </si>
  <si>
    <t>Mahrez</t>
  </si>
  <si>
    <t>Danny</t>
  </si>
  <si>
    <t>Rose</t>
  </si>
  <si>
    <t>Michy</t>
  </si>
  <si>
    <t>Jamie</t>
  </si>
  <si>
    <t>Vardy</t>
  </si>
  <si>
    <t>Marcus</t>
  </si>
  <si>
    <t>Rashford</t>
  </si>
  <si>
    <t>Pedro</t>
  </si>
  <si>
    <t>Petr</t>
  </si>
  <si>
    <t>Cech</t>
  </si>
  <si>
    <t>N'Golo</t>
  </si>
  <si>
    <t>Olivier</t>
  </si>
  <si>
    <t>Giroud</t>
  </si>
  <si>
    <t>Ramsey</t>
  </si>
  <si>
    <t>Jack</t>
  </si>
  <si>
    <t>Butland</t>
  </si>
  <si>
    <t>Hugo</t>
  </si>
  <si>
    <t>Lloris</t>
  </si>
  <si>
    <t>Granit</t>
  </si>
  <si>
    <t>Xhaka</t>
  </si>
  <si>
    <t>Nicolas</t>
  </si>
  <si>
    <t>Otamendi</t>
  </si>
  <si>
    <t>Joe</t>
  </si>
  <si>
    <t>Joel</t>
  </si>
  <si>
    <t>Matip</t>
  </si>
  <si>
    <t>Ryan</t>
  </si>
  <si>
    <t>Shawcross</t>
  </si>
  <si>
    <t>Mata</t>
  </si>
  <si>
    <t>Cesc</t>
  </si>
  <si>
    <t>Fabregas</t>
  </si>
  <si>
    <t>Gylfi</t>
  </si>
  <si>
    <t>Sigurdsson</t>
  </si>
  <si>
    <t>Wayne</t>
  </si>
  <si>
    <t>Rooney</t>
  </si>
  <si>
    <t>Roberto</t>
  </si>
  <si>
    <t>Firmino</t>
  </si>
  <si>
    <t>Willian</t>
  </si>
  <si>
    <t>Fuchs</t>
  </si>
  <si>
    <t>Andros</t>
  </si>
  <si>
    <t>Townsend</t>
  </si>
  <si>
    <t>Bertrand</t>
  </si>
  <si>
    <t>Diego</t>
  </si>
  <si>
    <t>Ashley</t>
  </si>
  <si>
    <t>Williams</t>
  </si>
  <si>
    <t>Michail</t>
  </si>
  <si>
    <t>Antonio</t>
  </si>
  <si>
    <t>Dejan</t>
  </si>
  <si>
    <t>Lovren</t>
  </si>
  <si>
    <t>Wes</t>
  </si>
  <si>
    <t>Morgan</t>
  </si>
  <si>
    <t>Jermain</t>
  </si>
  <si>
    <t>Defoe</t>
  </si>
  <si>
    <t>Gabriel</t>
  </si>
  <si>
    <t>Leighton</t>
  </si>
  <si>
    <t>Baines</t>
  </si>
  <si>
    <t>Kasper</t>
  </si>
  <si>
    <t>Schmeichel</t>
  </si>
  <si>
    <t>Mark</t>
  </si>
  <si>
    <t>Noble</t>
  </si>
  <si>
    <t>Gary</t>
  </si>
  <si>
    <t>Cahill</t>
  </si>
  <si>
    <t>Matteo</t>
  </si>
  <si>
    <t>Darmian</t>
  </si>
  <si>
    <t>Loris</t>
  </si>
  <si>
    <t>Karius</t>
  </si>
  <si>
    <t>Nacho</t>
  </si>
  <si>
    <t>Monreal</t>
  </si>
  <si>
    <t>Vincent</t>
  </si>
  <si>
    <t>Kompany</t>
  </si>
  <si>
    <t>Adam</t>
  </si>
  <si>
    <t>Lallana</t>
  </si>
  <si>
    <t>Schlupp</t>
  </si>
  <si>
    <t>Jordan</t>
  </si>
  <si>
    <t>Cesar</t>
  </si>
  <si>
    <t>Azpilicueta</t>
  </si>
  <si>
    <t>Virgil</t>
  </si>
  <si>
    <t>van Dijk</t>
  </si>
  <si>
    <t>Drinkwater</t>
  </si>
  <si>
    <t>Dusan</t>
  </si>
  <si>
    <t>Tadic</t>
  </si>
  <si>
    <t>Marko</t>
  </si>
  <si>
    <t>Arnautovic</t>
  </si>
  <si>
    <t>Scott</t>
  </si>
  <si>
    <t>Dann</t>
  </si>
  <si>
    <t>Victor</t>
  </si>
  <si>
    <t>Wanyama</t>
  </si>
  <si>
    <t>Andy</t>
  </si>
  <si>
    <t>Carroll</t>
  </si>
  <si>
    <t>Francis</t>
  </si>
  <si>
    <t>James</t>
  </si>
  <si>
    <t>Milner</t>
  </si>
  <si>
    <t>Ilkay</t>
  </si>
  <si>
    <t>Gundogan</t>
  </si>
  <si>
    <t>Xherdan</t>
  </si>
  <si>
    <t>Shaqiri</t>
  </si>
  <si>
    <t>Thibaut</t>
  </si>
  <si>
    <t>Courtois</t>
  </si>
  <si>
    <t>Craig</t>
  </si>
  <si>
    <t>Dawson</t>
  </si>
  <si>
    <t>Cazorla</t>
  </si>
  <si>
    <t>Yohan</t>
  </si>
  <si>
    <t>Cabaye</t>
  </si>
  <si>
    <t>Sofiane</t>
  </si>
  <si>
    <t>Feghouli</t>
  </si>
  <si>
    <t>Troy</t>
  </si>
  <si>
    <t>Deeney</t>
  </si>
  <si>
    <t>Lamela</t>
  </si>
  <si>
    <t>Robert</t>
  </si>
  <si>
    <t>Huth</t>
  </si>
  <si>
    <t>Kurt</t>
  </si>
  <si>
    <t>Zouma</t>
  </si>
  <si>
    <t>Andre</t>
  </si>
  <si>
    <t>Gray</t>
  </si>
  <si>
    <t>Divock</t>
  </si>
  <si>
    <t>Origi</t>
  </si>
  <si>
    <t>Martin</t>
  </si>
  <si>
    <t>Kelly</t>
  </si>
  <si>
    <t>Long</t>
  </si>
  <si>
    <t>Yaya</t>
  </si>
  <si>
    <t>Philip</t>
  </si>
  <si>
    <t>Jagielka</t>
  </si>
  <si>
    <t>Janssen</t>
  </si>
  <si>
    <t>Marcos</t>
  </si>
  <si>
    <t>Nathan</t>
  </si>
  <si>
    <t>Redmond</t>
  </si>
  <si>
    <t>Callum</t>
  </si>
  <si>
    <t>Wilson</t>
  </si>
  <si>
    <t>Cedric</t>
  </si>
  <si>
    <t>Wilshere</t>
  </si>
  <si>
    <t>Fernando</t>
  </si>
  <si>
    <t>Fernandinho</t>
  </si>
  <si>
    <t>Jan</t>
  </si>
  <si>
    <t>Vertonghen</t>
  </si>
  <si>
    <t>Steven</t>
  </si>
  <si>
    <t>Emre</t>
  </si>
  <si>
    <t>Silva</t>
  </si>
  <si>
    <t>Ogbonna</t>
  </si>
  <si>
    <t>Simpson</t>
  </si>
  <si>
    <t>Jason</t>
  </si>
  <si>
    <t>Puncheon</t>
  </si>
  <si>
    <t>Winston</t>
  </si>
  <si>
    <t>Reid</t>
  </si>
  <si>
    <t>Kelechi</t>
  </si>
  <si>
    <t>Iheanacho</t>
  </si>
  <si>
    <t>Saido</t>
  </si>
  <si>
    <t>Berahino</t>
  </si>
  <si>
    <t>Patrick</t>
  </si>
  <si>
    <t>van Aanholt</t>
  </si>
  <si>
    <t>Musa</t>
  </si>
  <si>
    <t>Heurelho</t>
  </si>
  <si>
    <t>Gomes</t>
  </si>
  <si>
    <t>Ben</t>
  </si>
  <si>
    <t>Foster</t>
  </si>
  <si>
    <t>Henderson</t>
  </si>
  <si>
    <t>Wilfried</t>
  </si>
  <si>
    <t>Zaha</t>
  </si>
  <si>
    <t>Ramiro</t>
  </si>
  <si>
    <t>Funes Mori</t>
  </si>
  <si>
    <t>Aleksandar</t>
  </si>
  <si>
    <t>Kolarov</t>
  </si>
  <si>
    <t>Nemanja</t>
  </si>
  <si>
    <t>Matic</t>
  </si>
  <si>
    <t>Manuel</t>
  </si>
  <si>
    <t>Lanzini</t>
  </si>
  <si>
    <t>Ander</t>
  </si>
  <si>
    <t>Marc</t>
  </si>
  <si>
    <t>Gareth</t>
  </si>
  <si>
    <t>Barry</t>
  </si>
  <si>
    <t>Jones</t>
  </si>
  <si>
    <t>Allen</t>
  </si>
  <si>
    <t>Davies</t>
  </si>
  <si>
    <t>Sebastian</t>
  </si>
  <si>
    <t>McAuley</t>
  </si>
  <si>
    <t>Phillip</t>
  </si>
  <si>
    <t>Bardsley</t>
  </si>
  <si>
    <t>Lukasz</t>
  </si>
  <si>
    <t>Fabianski</t>
  </si>
  <si>
    <t>Hennessey</t>
  </si>
  <si>
    <t>Michael</t>
  </si>
  <si>
    <t>Jesse</t>
  </si>
  <si>
    <t>Lingard</t>
  </si>
  <si>
    <t>Raheem</t>
  </si>
  <si>
    <t>Sterling</t>
  </si>
  <si>
    <t>Snodgrass</t>
  </si>
  <si>
    <t>Charlie</t>
  </si>
  <si>
    <t>Daniels</t>
  </si>
  <si>
    <t>Benteke</t>
  </si>
  <si>
    <t>Jonathan</t>
  </si>
  <si>
    <t>Walters</t>
  </si>
  <si>
    <t>Marouane</t>
  </si>
  <si>
    <t>Fellaini</t>
  </si>
  <si>
    <t>Tomkins</t>
  </si>
  <si>
    <t>Olsson</t>
  </si>
  <si>
    <t>Tom</t>
  </si>
  <si>
    <t>Erik</t>
  </si>
  <si>
    <t>Pieters</t>
  </si>
  <si>
    <t>Ritchie</t>
  </si>
  <si>
    <t>Cheikhou</t>
  </si>
  <si>
    <t>Kouyate</t>
  </si>
  <si>
    <t>Pablo</t>
  </si>
  <si>
    <t>Zabaleta</t>
  </si>
  <si>
    <t>Austin</t>
  </si>
  <si>
    <t>Theo</t>
  </si>
  <si>
    <t>Walcott</t>
  </si>
  <si>
    <t>Jonny</t>
  </si>
  <si>
    <t>Evans</t>
  </si>
  <si>
    <t>Keane</t>
  </si>
  <si>
    <t>Albrighton</t>
  </si>
  <si>
    <t>Mohamed</t>
  </si>
  <si>
    <t>Coquelin</t>
  </si>
  <si>
    <t>Wimmer</t>
  </si>
  <si>
    <t>Damien</t>
  </si>
  <si>
    <t>Delaney</t>
  </si>
  <si>
    <t>Muniesa</t>
  </si>
  <si>
    <t>Mirallas</t>
  </si>
  <si>
    <t>Smith</t>
  </si>
  <si>
    <t>Carrick</t>
  </si>
  <si>
    <t>Kieran</t>
  </si>
  <si>
    <t>Trippier</t>
  </si>
  <si>
    <t>Heung-Min</t>
  </si>
  <si>
    <t>Son</t>
  </si>
  <si>
    <t>Pierre</t>
  </si>
  <si>
    <t>Hojbjerg</t>
  </si>
  <si>
    <t>Cuco</t>
  </si>
  <si>
    <t>Martina</t>
  </si>
  <si>
    <t>Elneny</t>
  </si>
  <si>
    <t>Jay</t>
  </si>
  <si>
    <t>Rodriguez</t>
  </si>
  <si>
    <t>Gibbs</t>
  </si>
  <si>
    <t>Schneiderlin</t>
  </si>
  <si>
    <t>Demarai</t>
  </si>
  <si>
    <t>Ward</t>
  </si>
  <si>
    <t>Phil</t>
  </si>
  <si>
    <t>Heaton</t>
  </si>
  <si>
    <t>Nacer</t>
  </si>
  <si>
    <t>Chadli</t>
  </si>
  <si>
    <t>Glen</t>
  </si>
  <si>
    <t>Johnson</t>
  </si>
  <si>
    <t>Collins</t>
  </si>
  <si>
    <t>Routledge</t>
  </si>
  <si>
    <t>Enner</t>
  </si>
  <si>
    <t>Asmir</t>
  </si>
  <si>
    <t>Begovic</t>
  </si>
  <si>
    <t>Grant</t>
  </si>
  <si>
    <t>Ruben</t>
  </si>
  <si>
    <t>Loftus-Cheek</t>
  </si>
  <si>
    <t>Shinji</t>
  </si>
  <si>
    <t>Okazaki</t>
  </si>
  <si>
    <t>Younes</t>
  </si>
  <si>
    <t>Kaboul</t>
  </si>
  <si>
    <t>Naughton</t>
  </si>
  <si>
    <t>Jake</t>
  </si>
  <si>
    <t>Livermore</t>
  </si>
  <si>
    <t>Benik</t>
  </si>
  <si>
    <t>Afobe</t>
  </si>
  <si>
    <t>Steve</t>
  </si>
  <si>
    <t>Cook</t>
  </si>
  <si>
    <t>Angel</t>
  </si>
  <si>
    <t>Rangel</t>
  </si>
  <si>
    <t>Sam</t>
  </si>
  <si>
    <t>Vokes</t>
  </si>
  <si>
    <t>Ahmed</t>
  </si>
  <si>
    <t>Ake</t>
  </si>
  <si>
    <t>Darren</t>
  </si>
  <si>
    <t>Fletcher</t>
  </si>
  <si>
    <t>Mee</t>
  </si>
  <si>
    <t>Calum</t>
  </si>
  <si>
    <t>Chambers</t>
  </si>
  <si>
    <t>Maya</t>
  </si>
  <si>
    <t>Yoshida</t>
  </si>
  <si>
    <t>Alex</t>
  </si>
  <si>
    <t>Matt</t>
  </si>
  <si>
    <t>Phillips</t>
  </si>
  <si>
    <t>Ward-Prowse</t>
  </si>
  <si>
    <t>Cleverley</t>
  </si>
  <si>
    <t>Iwobi</t>
  </si>
  <si>
    <t>Cameron</t>
  </si>
  <si>
    <t>Andrew</t>
  </si>
  <si>
    <t>Surman</t>
  </si>
  <si>
    <t>Matthew</t>
  </si>
  <si>
    <t>Lowton</t>
  </si>
  <si>
    <t>Lewis</t>
  </si>
  <si>
    <t>Arfield</t>
  </si>
  <si>
    <t>Geoff</t>
  </si>
  <si>
    <t>Etienne</t>
  </si>
  <si>
    <t>Capoue</t>
  </si>
  <si>
    <t>Dan</t>
  </si>
  <si>
    <t>Gosling</t>
  </si>
  <si>
    <t>Joshua</t>
  </si>
  <si>
    <t>King</t>
  </si>
  <si>
    <t>Leroy</t>
  </si>
  <si>
    <t>Fer</t>
  </si>
  <si>
    <t>Valon</t>
  </si>
  <si>
    <t>Behrami</t>
  </si>
  <si>
    <t>Federico</t>
  </si>
  <si>
    <t>Fabian</t>
  </si>
  <si>
    <t>Delph</t>
  </si>
  <si>
    <t>Brunt</t>
  </si>
  <si>
    <t>Lee</t>
  </si>
  <si>
    <t>Stephen</t>
  </si>
  <si>
    <t>Arter</t>
  </si>
  <si>
    <t>McClean</t>
  </si>
  <si>
    <t>Moses</t>
  </si>
  <si>
    <t>Claudio</t>
  </si>
  <si>
    <t>Yacob</t>
  </si>
  <si>
    <t>Lucas</t>
  </si>
  <si>
    <t>Barnes</t>
  </si>
  <si>
    <t>Maguire</t>
  </si>
  <si>
    <t>Dean</t>
  </si>
  <si>
    <t>Marney</t>
  </si>
  <si>
    <t>Mason</t>
  </si>
  <si>
    <t>Nordin</t>
  </si>
  <si>
    <t>Amrabat</t>
  </si>
  <si>
    <t>McArthur</t>
  </si>
  <si>
    <t>Prodl</t>
  </si>
  <si>
    <t>Cork</t>
  </si>
  <si>
    <t>Sung-Yueng</t>
  </si>
  <si>
    <t>Ki</t>
  </si>
  <si>
    <t>Ospina</t>
  </si>
  <si>
    <t>Pugh</t>
  </si>
  <si>
    <t>Oriol</t>
  </si>
  <si>
    <t>Morrison</t>
  </si>
  <si>
    <t>Nyom</t>
  </si>
  <si>
    <t>Holebas</t>
  </si>
  <si>
    <t>Peter</t>
  </si>
  <si>
    <t>Crouch</t>
  </si>
  <si>
    <t>Junior</t>
  </si>
  <si>
    <t>Stanislas</t>
  </si>
  <si>
    <t>Obiang</t>
  </si>
  <si>
    <t>Britos</t>
  </si>
  <si>
    <t>Glenn</t>
  </si>
  <si>
    <t>Toure</t>
  </si>
  <si>
    <t>Davis</t>
  </si>
  <si>
    <t>Jesus</t>
  </si>
  <si>
    <t>Costa</t>
  </si>
  <si>
    <t>Young</t>
  </si>
  <si>
    <t>Santi</t>
  </si>
  <si>
    <t>Llorente</t>
  </si>
  <si>
    <t>Willy</t>
  </si>
  <si>
    <t>Caballero</t>
  </si>
  <si>
    <t>Shane</t>
  </si>
  <si>
    <t>Valencia</t>
  </si>
  <si>
    <t>Randolph</t>
  </si>
  <si>
    <t>Ragnar</t>
  </si>
  <si>
    <t>Klavan</t>
  </si>
  <si>
    <t>Sanchez</t>
  </si>
  <si>
    <t>Sergio</t>
  </si>
  <si>
    <t>Aguero</t>
  </si>
  <si>
    <t>Mousa</t>
  </si>
  <si>
    <t>Dembele</t>
  </si>
  <si>
    <t>Angelo</t>
  </si>
  <si>
    <t>Georginio</t>
  </si>
  <si>
    <t>Wijnaldum</t>
  </si>
  <si>
    <t>Juan</t>
  </si>
  <si>
    <t>Ayew</t>
  </si>
  <si>
    <t>Miguel</t>
  </si>
  <si>
    <t>Bony</t>
  </si>
  <si>
    <t>Salomon</t>
  </si>
  <si>
    <t>Rondon</t>
  </si>
  <si>
    <t>Fernandez</t>
  </si>
  <si>
    <t>Soares</t>
  </si>
  <si>
    <t>Rojo</t>
  </si>
  <si>
    <t>Herrera</t>
  </si>
  <si>
    <t>Adrian</t>
  </si>
  <si>
    <t>Mame</t>
  </si>
  <si>
    <t>Diouf</t>
  </si>
  <si>
    <t>Allan</t>
  </si>
  <si>
    <t>Paul</t>
  </si>
  <si>
    <t>Pogba</t>
  </si>
  <si>
    <t>Romeu</t>
  </si>
  <si>
    <t>Robles</t>
  </si>
  <si>
    <t>Idrissa</t>
  </si>
  <si>
    <t>Gueye</t>
  </si>
  <si>
    <t>Oxlade-Chamberlain</t>
  </si>
  <si>
    <t>Jeffrey</t>
  </si>
  <si>
    <t>Batshuayi</t>
  </si>
  <si>
    <t>Mane</t>
  </si>
  <si>
    <t>Pickford</t>
  </si>
  <si>
    <t>Can</t>
  </si>
  <si>
    <t>Byram</t>
  </si>
  <si>
    <t>Kante</t>
  </si>
  <si>
    <t>Rob</t>
  </si>
  <si>
    <t>Holding</t>
  </si>
  <si>
    <t>Chilwell</t>
  </si>
  <si>
    <t>Success</t>
  </si>
  <si>
    <t>Sane</t>
  </si>
  <si>
    <t>GW</t>
  </si>
  <si>
    <t>gw status</t>
  </si>
  <si>
    <t>start</t>
  </si>
  <si>
    <t>end</t>
  </si>
  <si>
    <t>matchid</t>
  </si>
  <si>
    <t>comp</t>
  </si>
  <si>
    <t>home</t>
  </si>
  <si>
    <t>away</t>
  </si>
  <si>
    <t>venue</t>
  </si>
  <si>
    <t>matchstatus</t>
  </si>
  <si>
    <t>matchstart</t>
  </si>
  <si>
    <t>homescore</t>
  </si>
  <si>
    <t>awayscore</t>
  </si>
  <si>
    <t>Michel</t>
  </si>
  <si>
    <t>Vorm</t>
  </si>
  <si>
    <t>Holgate</t>
  </si>
  <si>
    <t>Clark</t>
  </si>
  <si>
    <t>Will</t>
  </si>
  <si>
    <t>Dale</t>
  </si>
  <si>
    <t>Alfie</t>
  </si>
  <si>
    <t>Hughes</t>
  </si>
  <si>
    <t>Oliver</t>
  </si>
  <si>
    <t>Bravo</t>
  </si>
  <si>
    <t>Luiz</t>
  </si>
  <si>
    <t>Moussa</t>
  </si>
  <si>
    <t>Sissoko</t>
  </si>
  <si>
    <t>Hal</t>
  </si>
  <si>
    <t>Robson-Kanu</t>
  </si>
  <si>
    <t>Daryl</t>
  </si>
  <si>
    <t>Janmaat</t>
  </si>
  <si>
    <t>Shkodran</t>
  </si>
  <si>
    <t>Mustafi</t>
  </si>
  <si>
    <t>Alonso</t>
  </si>
  <si>
    <t>Jeff</t>
  </si>
  <si>
    <t>Hendrick</t>
  </si>
  <si>
    <t>Bruno</t>
  </si>
  <si>
    <t>Martins Indi</t>
  </si>
  <si>
    <t>Boufal</t>
  </si>
  <si>
    <t>Islam</t>
  </si>
  <si>
    <t>Slimani</t>
  </si>
  <si>
    <t>Perez</t>
  </si>
  <si>
    <t>Winks</t>
  </si>
  <si>
    <t>Accrington Stanley</t>
  </si>
  <si>
    <t>Accrington</t>
  </si>
  <si>
    <t>Arsenal</t>
  </si>
  <si>
    <t>ARS</t>
  </si>
  <si>
    <t>Astra Giurgiu</t>
  </si>
  <si>
    <t>Astra Giur</t>
  </si>
  <si>
    <t>Barcelona</t>
  </si>
  <si>
    <t>Bayer 04 Leverkusen</t>
  </si>
  <si>
    <t>Blackpool</t>
  </si>
  <si>
    <t>Borussia Mönchengladbach</t>
  </si>
  <si>
    <t>Bournemouth</t>
  </si>
  <si>
    <t>BOU</t>
  </si>
  <si>
    <t>Bristol Rovers</t>
  </si>
  <si>
    <t>Bristol Ro</t>
  </si>
  <si>
    <t>Burnley</t>
  </si>
  <si>
    <t>BUR</t>
  </si>
  <si>
    <t>Burton Albion</t>
  </si>
  <si>
    <t>Burton Alb</t>
  </si>
  <si>
    <t>Celtic</t>
  </si>
  <si>
    <t>Chelsea</t>
  </si>
  <si>
    <t>CHE</t>
  </si>
  <si>
    <t>Club Brugge</t>
  </si>
  <si>
    <t>Crystal Palace</t>
  </si>
  <si>
    <t>CRY</t>
  </si>
  <si>
    <t>CSKA Moscow</t>
  </si>
  <si>
    <t>Derby County</t>
  </si>
  <si>
    <t>Derby Coun</t>
  </si>
  <si>
    <t>Everton</t>
  </si>
  <si>
    <t>EVE</t>
  </si>
  <si>
    <t>Exeter City</t>
  </si>
  <si>
    <t>Exeter Cit</t>
  </si>
  <si>
    <t>FC Basel</t>
  </si>
  <si>
    <t>FC København</t>
  </si>
  <si>
    <t>FC Porto</t>
  </si>
  <si>
    <t>Fenerbahçe</t>
  </si>
  <si>
    <t>Feyenoord</t>
  </si>
  <si>
    <t>Fulham</t>
  </si>
  <si>
    <t>Gillingham</t>
  </si>
  <si>
    <t>Hapoel Be'er Sheva</t>
  </si>
  <si>
    <t>Hull City</t>
  </si>
  <si>
    <t>Hull</t>
  </si>
  <si>
    <t>HUL</t>
  </si>
  <si>
    <t>Internazionale</t>
  </si>
  <si>
    <t>Leicester City</t>
  </si>
  <si>
    <t>Leicester</t>
  </si>
  <si>
    <t>LEI</t>
  </si>
  <si>
    <t>Liverpool</t>
  </si>
  <si>
    <t>LIV</t>
  </si>
  <si>
    <t>Ludogorets Razgrad</t>
  </si>
  <si>
    <t>Manchester City</t>
  </si>
  <si>
    <t>Man City</t>
  </si>
  <si>
    <t>MCI</t>
  </si>
  <si>
    <t>Manchester United</t>
  </si>
  <si>
    <t>Man Utd</t>
  </si>
  <si>
    <t>MUN</t>
  </si>
  <si>
    <t>Middlesbrough</t>
  </si>
  <si>
    <t>MID</t>
  </si>
  <si>
    <t>Monaco</t>
  </si>
  <si>
    <t>Morecambe</t>
  </si>
  <si>
    <t>Northampton Town</t>
  </si>
  <si>
    <t>Northampto</t>
  </si>
  <si>
    <t>Norwich City</t>
  </si>
  <si>
    <t>Norwich Ci</t>
  </si>
  <si>
    <t>Nottingham Forest</t>
  </si>
  <si>
    <t>Nottingham</t>
  </si>
  <si>
    <t>Paris Saint-Germain</t>
  </si>
  <si>
    <t>Peterborough United</t>
  </si>
  <si>
    <t>Peterborou</t>
  </si>
  <si>
    <t>Preston North End</t>
  </si>
  <si>
    <t>Preston No</t>
  </si>
  <si>
    <t>Queens Park Rangers</t>
  </si>
  <si>
    <t>Queens Par</t>
  </si>
  <si>
    <t>Shrewsbury Town</t>
  </si>
  <si>
    <t>Shrewsbury</t>
  </si>
  <si>
    <t>Southampton</t>
  </si>
  <si>
    <t>SOU</t>
  </si>
  <si>
    <t>Sparta Prague</t>
  </si>
  <si>
    <t>Steaua Bucharest</t>
  </si>
  <si>
    <t>Steaua Buc</t>
  </si>
  <si>
    <t>Stevenage</t>
  </si>
  <si>
    <t>Stoke City</t>
  </si>
  <si>
    <t>Stoke</t>
  </si>
  <si>
    <t>STK</t>
  </si>
  <si>
    <t>Sunderland</t>
  </si>
  <si>
    <t>SUN</t>
  </si>
  <si>
    <t>Swansea City</t>
  </si>
  <si>
    <t>Swansea</t>
  </si>
  <si>
    <t>SWA</t>
  </si>
  <si>
    <t>TBC</t>
  </si>
  <si>
    <t>Tottenham Hotspur</t>
  </si>
  <si>
    <t>Spurs</t>
  </si>
  <si>
    <t>TOT</t>
  </si>
  <si>
    <t>Watford</t>
  </si>
  <si>
    <t>WAT</t>
  </si>
  <si>
    <t>West Bromwich Albion</t>
  </si>
  <si>
    <t>West Brom</t>
  </si>
  <si>
    <t>WBA</t>
  </si>
  <si>
    <t>West Ham United</t>
  </si>
  <si>
    <t>West Ham</t>
  </si>
  <si>
    <t>WHU</t>
  </si>
  <si>
    <t>Yeovil Town</t>
  </si>
  <si>
    <t>Yeovil Tow</t>
  </si>
  <si>
    <t>Zorya Luhansk</t>
  </si>
  <si>
    <t>fullname</t>
  </si>
  <si>
    <t>namea</t>
  </si>
  <si>
    <t>shortname</t>
  </si>
  <si>
    <t>gw</t>
  </si>
  <si>
    <t>Robbie</t>
  </si>
  <si>
    <t>Brady</t>
  </si>
  <si>
    <t>Lowe</t>
  </si>
  <si>
    <t>Bristol City</t>
  </si>
  <si>
    <t>Bristol Ci</t>
  </si>
  <si>
    <t>Reading</t>
  </si>
  <si>
    <t>Mohammed</t>
  </si>
  <si>
    <t>Welbeck</t>
  </si>
  <si>
    <t>Manolo</t>
  </si>
  <si>
    <t>Gabbiadini</t>
  </si>
  <si>
    <t>M'Baye</t>
  </si>
  <si>
    <t>Niang</t>
  </si>
  <si>
    <t>Mawson</t>
  </si>
  <si>
    <t>Wilfred</t>
  </si>
  <si>
    <t>Ndidi</t>
  </si>
  <si>
    <t>Ademola</t>
  </si>
  <si>
    <t>Lookman</t>
  </si>
  <si>
    <t>Ajax</t>
  </si>
  <si>
    <t>AJA</t>
  </si>
  <si>
    <t>APOEL Nicosia</t>
  </si>
  <si>
    <t>APO</t>
  </si>
  <si>
    <t>Aston Villa</t>
  </si>
  <si>
    <t>Aston Vill</t>
  </si>
  <si>
    <t>Athletic Club</t>
  </si>
  <si>
    <t>BIL</t>
  </si>
  <si>
    <t>Atlético de Madrid</t>
  </si>
  <si>
    <t>ATH</t>
  </si>
  <si>
    <t>AZ</t>
  </si>
  <si>
    <t>BAR</t>
  </si>
  <si>
    <t>Barnsley</t>
  </si>
  <si>
    <t>LEV</t>
  </si>
  <si>
    <t>Benfica</t>
  </si>
  <si>
    <t>BEN</t>
  </si>
  <si>
    <t>Besiktas</t>
  </si>
  <si>
    <t>BES</t>
  </si>
  <si>
    <t>Blackburn Rovers</t>
  </si>
  <si>
    <t xml:space="preserve">Blackburn </t>
  </si>
  <si>
    <t>Bolton Wanderers</t>
  </si>
  <si>
    <t>Bolton Wan</t>
  </si>
  <si>
    <t>Bordeaux</t>
  </si>
  <si>
    <t>BORD</t>
  </si>
  <si>
    <t>Borussia Dortmund</t>
  </si>
  <si>
    <t>BVB</t>
  </si>
  <si>
    <t>BMG</t>
  </si>
  <si>
    <t>Brentford</t>
  </si>
  <si>
    <t>Bury</t>
  </si>
  <si>
    <t>Celta de Vigo</t>
  </si>
  <si>
    <t>CEV</t>
  </si>
  <si>
    <t>CEL</t>
  </si>
  <si>
    <t>CLB</t>
  </si>
  <si>
    <t>CSK</t>
  </si>
  <si>
    <t>Dinamo Zagreb</t>
  </si>
  <si>
    <t>ZAG</t>
  </si>
  <si>
    <t>BAS</t>
  </si>
  <si>
    <t>FC Bayern München</t>
  </si>
  <si>
    <t>FCB</t>
  </si>
  <si>
    <t>FCK</t>
  </si>
  <si>
    <t>FC Midtjylland</t>
  </si>
  <si>
    <t>FC Midtjyl</t>
  </si>
  <si>
    <t>POR</t>
  </si>
  <si>
    <t>FC Rostov</t>
  </si>
  <si>
    <t>ROS</t>
  </si>
  <si>
    <t>FC Schalke 04</t>
  </si>
  <si>
    <t>SCH</t>
  </si>
  <si>
    <t>FC Sion</t>
  </si>
  <si>
    <t>FEN</t>
  </si>
  <si>
    <t>FEY</t>
  </si>
  <si>
    <t>Fiorentina</t>
  </si>
  <si>
    <t>FIO</t>
  </si>
  <si>
    <t>FK Krasnodar</t>
  </si>
  <si>
    <t>KRA</t>
  </si>
  <si>
    <t>FK Qarabag</t>
  </si>
  <si>
    <t>HBS</t>
  </si>
  <si>
    <t>Hartlepool United</t>
  </si>
  <si>
    <t>Hartlepool</t>
  </si>
  <si>
    <t>Huddersfield Town</t>
  </si>
  <si>
    <t>INT</t>
  </si>
  <si>
    <t>Juventus</t>
  </si>
  <si>
    <t>JUV</t>
  </si>
  <si>
    <t>KAA Gent</t>
  </si>
  <si>
    <t>KAA</t>
  </si>
  <si>
    <t>KRC Genk</t>
  </si>
  <si>
    <t>GEN</t>
  </si>
  <si>
    <t>Leeds United</t>
  </si>
  <si>
    <t>Leeds Unit</t>
  </si>
  <si>
    <t>Legia Warsaw</t>
  </si>
  <si>
    <t>LEG</t>
  </si>
  <si>
    <t>Lincoln City</t>
  </si>
  <si>
    <t>Lincoln Ci</t>
  </si>
  <si>
    <t>LUD</t>
  </si>
  <si>
    <t>Luton Town</t>
  </si>
  <si>
    <t>Lyon</t>
  </si>
  <si>
    <t>LYON</t>
  </si>
  <si>
    <t>Maccabi Tel Aviv</t>
  </si>
  <si>
    <t>MAC</t>
  </si>
  <si>
    <t>Millwall</t>
  </si>
  <si>
    <t>ASM</t>
  </si>
  <si>
    <t>Napoli</t>
  </si>
  <si>
    <t>NAP</t>
  </si>
  <si>
    <t>Newcastle United</t>
  </si>
  <si>
    <t>Olympiakos</t>
  </si>
  <si>
    <t>OLYM</t>
  </si>
  <si>
    <t>Osmanlispor</t>
  </si>
  <si>
    <t>Osmanlispo</t>
  </si>
  <si>
    <t>Oxford United</t>
  </si>
  <si>
    <t>Oxford Uni</t>
  </si>
  <si>
    <t>PAOK Salonika</t>
  </si>
  <si>
    <t>PAOK</t>
  </si>
  <si>
    <t>PSG</t>
  </si>
  <si>
    <t>Plymouth Argyle</t>
  </si>
  <si>
    <t>Plymouth A</t>
  </si>
  <si>
    <t>Port Vale</t>
  </si>
  <si>
    <t>PSV</t>
  </si>
  <si>
    <t>Real Madrid</t>
  </si>
  <si>
    <t>MAD</t>
  </si>
  <si>
    <t>Rochdale</t>
  </si>
  <si>
    <t>Roma</t>
  </si>
  <si>
    <t>ROM</t>
  </si>
  <si>
    <t>RSC Anderlecht</t>
  </si>
  <si>
    <t>AND</t>
  </si>
  <si>
    <t>Semi-Final 1 Winner</t>
  </si>
  <si>
    <t>Semi-Final</t>
  </si>
  <si>
    <t>Semi-Final 2 Winner</t>
  </si>
  <si>
    <t>Sevilla</t>
  </si>
  <si>
    <t>SEV</t>
  </si>
  <si>
    <t>Shakhtar Donetsk</t>
  </si>
  <si>
    <t>SHA</t>
  </si>
  <si>
    <t>Sheffield Wednesday</t>
  </si>
  <si>
    <t xml:space="preserve">Sheffield </t>
  </si>
  <si>
    <t>SPA</t>
  </si>
  <si>
    <t>St Etienne</t>
  </si>
  <si>
    <t>STE</t>
  </si>
  <si>
    <t>Sutton United</t>
  </si>
  <si>
    <t>Sutton Uni</t>
  </si>
  <si>
    <t>VfL Wolfsburg</t>
  </si>
  <si>
    <t>WOL</t>
  </si>
  <si>
    <t>Villarreal</t>
  </si>
  <si>
    <t>VIL</t>
  </si>
  <si>
    <t>Wigan Athletic</t>
  </si>
  <si>
    <t>Wigan Athl</t>
  </si>
  <si>
    <t>Wolverhampton Wanderers</t>
  </si>
  <si>
    <t>Wolverhamp</t>
  </si>
  <si>
    <t>Wycombe Wanderers</t>
  </si>
  <si>
    <t>Wycombe Wa</t>
  </si>
  <si>
    <t>York City</t>
  </si>
  <si>
    <t>Zenit St Petersburg</t>
  </si>
  <si>
    <t>ZEN</t>
  </si>
  <si>
    <t>ZOR</t>
  </si>
  <si>
    <t>Bernardo</t>
  </si>
  <si>
    <t>Dominic</t>
  </si>
  <si>
    <t>Stephens</t>
  </si>
  <si>
    <t>Yoan</t>
  </si>
  <si>
    <t>Gouffran</t>
  </si>
  <si>
    <t>Jonjo</t>
  </si>
  <si>
    <t>Shelvey</t>
  </si>
  <si>
    <t>Ciaran</t>
  </si>
  <si>
    <t>Jamaal</t>
  </si>
  <si>
    <t>Lascelles</t>
  </si>
  <si>
    <t>Dwight</t>
  </si>
  <si>
    <t>Gayle</t>
  </si>
  <si>
    <t>Atsu</t>
  </si>
  <si>
    <t>Isaac</t>
  </si>
  <si>
    <t>Hayden</t>
  </si>
  <si>
    <t>Rajiv</t>
  </si>
  <si>
    <t>van La Parra</t>
  </si>
  <si>
    <t>Elias</t>
  </si>
  <si>
    <t>Kachunga</t>
  </si>
  <si>
    <t>Hogg</t>
  </si>
  <si>
    <t>Tommy</t>
  </si>
  <si>
    <t>Davy</t>
  </si>
  <si>
    <t>EPL</t>
  </si>
  <si>
    <t>FAC</t>
  </si>
  <si>
    <t>ELC</t>
  </si>
  <si>
    <t>UCL</t>
  </si>
  <si>
    <t>UEL</t>
  </si>
  <si>
    <t>UCLQ</t>
  </si>
  <si>
    <t>UELQ</t>
  </si>
  <si>
    <t>COMP</t>
  </si>
  <si>
    <t>DEF</t>
  </si>
  <si>
    <t>GK</t>
  </si>
  <si>
    <t>STR</t>
  </si>
  <si>
    <t>Saltor</t>
  </si>
  <si>
    <t>Sidwell</t>
  </si>
  <si>
    <t>Murray</t>
  </si>
  <si>
    <t>Diamé</t>
  </si>
  <si>
    <t>Baldock</t>
  </si>
  <si>
    <t>Ozil</t>
  </si>
  <si>
    <t>Tomer</t>
  </si>
  <si>
    <t>Hemed</t>
  </si>
  <si>
    <t>Gaëtan</t>
  </si>
  <si>
    <t>Bong</t>
  </si>
  <si>
    <t>Colback</t>
  </si>
  <si>
    <t>Karl</t>
  </si>
  <si>
    <t>Darlow</t>
  </si>
  <si>
    <t>Pascal</t>
  </si>
  <si>
    <t>Gross</t>
  </si>
  <si>
    <t>Duffy</t>
  </si>
  <si>
    <t>Mooy</t>
  </si>
  <si>
    <t>Norwood</t>
  </si>
  <si>
    <t>Dunk</t>
  </si>
  <si>
    <t>Knockaert</t>
  </si>
  <si>
    <t>Christopher</t>
  </si>
  <si>
    <t>Schindler</t>
  </si>
  <si>
    <t>Hefele</t>
  </si>
  <si>
    <t>Dummett</t>
  </si>
  <si>
    <t>Sead</t>
  </si>
  <si>
    <t>Kolasinac</t>
  </si>
  <si>
    <t>Salah</t>
  </si>
  <si>
    <t>Ederson</t>
  </si>
  <si>
    <t>Mathew</t>
  </si>
  <si>
    <t>Solanke</t>
  </si>
  <si>
    <t>Ayoze</t>
  </si>
  <si>
    <t>Pérez</t>
  </si>
  <si>
    <t>Lindelof</t>
  </si>
  <si>
    <t>ID</t>
  </si>
  <si>
    <t>First Name</t>
  </si>
  <si>
    <t>Last Name</t>
  </si>
  <si>
    <t>Squad ID</t>
  </si>
  <si>
    <t>Cost</t>
  </si>
  <si>
    <t>status</t>
  </si>
  <si>
    <t>Price  1</t>
  </si>
  <si>
    <t>Score  1</t>
  </si>
  <si>
    <t xml:space="preserve">Week Rank </t>
  </si>
  <si>
    <t>Season Rank</t>
  </si>
  <si>
    <t>Games</t>
  </si>
  <si>
    <t>Points</t>
  </si>
  <si>
    <t>Avg Points</t>
  </si>
  <si>
    <t>High Score</t>
  </si>
  <si>
    <t>Low Score</t>
  </si>
  <si>
    <t>Last 3 avg</t>
  </si>
  <si>
    <t>Last 5 Avg</t>
  </si>
  <si>
    <t>Selections</t>
  </si>
  <si>
    <t>Owned by</t>
  </si>
  <si>
    <t>Position</t>
  </si>
  <si>
    <t>Locked</t>
  </si>
  <si>
    <t>Brighton</t>
  </si>
  <si>
    <t>BHA</t>
  </si>
  <si>
    <t>HUD</t>
  </si>
  <si>
    <t>NEW</t>
  </si>
  <si>
    <t>scheduled</t>
  </si>
  <si>
    <t>2017-08-11T00:00:00+01:00</t>
  </si>
  <si>
    <t>2017-08-17T23:59:59+01:00</t>
  </si>
  <si>
    <t>2017-08-12T15:00:00+01:00</t>
  </si>
  <si>
    <t>2017-08-18T00:00:00+01:00</t>
  </si>
  <si>
    <t>2017-08-24T23:59:59+01:00</t>
  </si>
  <si>
    <t>2017-08-19T15:00:00+01:00</t>
  </si>
  <si>
    <t>2017-08-25T00:00:00+01:00</t>
  </si>
  <si>
    <t>2017-09-07T23:59:59+01:00</t>
  </si>
  <si>
    <t>2017-08-26T15:00:00+01:00</t>
  </si>
  <si>
    <t>2017-09-08T00:00:00+01:00</t>
  </si>
  <si>
    <t>2017-09-14T23:59:59+01:00</t>
  </si>
  <si>
    <t>2017-09-09T15:00:00+01:00</t>
  </si>
  <si>
    <t>2017-09-15T00:00:00+01:00</t>
  </si>
  <si>
    <t>2017-09-21T23:59:59+01:00</t>
  </si>
  <si>
    <t>2017-09-16T15:00:00+01:00</t>
  </si>
  <si>
    <t>2017-09-22T00:00:00+01:00</t>
  </si>
  <si>
    <t>2017-09-28T23:59:59+01:00</t>
  </si>
  <si>
    <t>2017-09-23T15:00:00+01:00</t>
  </si>
  <si>
    <t>2017-09-29T00:00:00+01:00</t>
  </si>
  <si>
    <t>2017-10-12T23:59:59+01:00</t>
  </si>
  <si>
    <t>2017-09-30T15:00:00+01:00</t>
  </si>
  <si>
    <t>2017-10-13T00:00:00+01:00</t>
  </si>
  <si>
    <t>2017-10-19T23:59:59+01:00</t>
  </si>
  <si>
    <t>2017-10-14T15:00:00+01:00</t>
  </si>
  <si>
    <t>2017-10-20T00:00:00+01:00</t>
  </si>
  <si>
    <t>2017-10-26T23:59:59+01:00</t>
  </si>
  <si>
    <t>2017-10-21T15:00:00+01:00</t>
  </si>
  <si>
    <t>2017-10-27T00:00:00+01:00</t>
  </si>
  <si>
    <t>2017-11-02T23:59:59+00:00</t>
  </si>
  <si>
    <t>2017-10-28T15:00:00+01:00</t>
  </si>
  <si>
    <t>2017-11-03T00:00:00+00:00</t>
  </si>
  <si>
    <t>2017-11-16T23:59:59+00:00</t>
  </si>
  <si>
    <t>2017-11-04T15:00:00+00:00</t>
  </si>
  <si>
    <t>2017-11-17T00:00:00+00:00</t>
  </si>
  <si>
    <t>2017-11-23T23:59:59+00:00</t>
  </si>
  <si>
    <t>2017-11-18T15:00:00+00:00</t>
  </si>
  <si>
    <t>2017-11-24T00:00:00+00:00</t>
  </si>
  <si>
    <t>2017-11-30T23:59:59+00:00</t>
  </si>
  <si>
    <t>2017-11-25T15:00:00+00:00</t>
  </si>
  <si>
    <t>2017-11-28T19:45:00+00:00</t>
  </si>
  <si>
    <t>2017-11-28T20:00:00+00:00</t>
  </si>
  <si>
    <t>2017-11-29T19:45:00+00:00</t>
  </si>
  <si>
    <t>2017-11-29T20:00:00+00:00</t>
  </si>
  <si>
    <t>2017-12-01T00:00:00+00:00</t>
  </si>
  <si>
    <t>2017-12-07T23:59:59+00:00</t>
  </si>
  <si>
    <t>2017-12-02T15:00:00+00:00</t>
  </si>
  <si>
    <t>2017-12-08T00:00:00+00:00</t>
  </si>
  <si>
    <t>2017-12-14T23:59:59+00:00</t>
  </si>
  <si>
    <t>2017-12-09T15:00:00+00:00</t>
  </si>
  <si>
    <t>2017-12-12T19:45:00+00:00</t>
  </si>
  <si>
    <t>2017-12-12T20:00:00+00:00</t>
  </si>
  <si>
    <t>2017-12-13T19:45:00+00:00</t>
  </si>
  <si>
    <t>2017-12-13T20:00:00+00:00</t>
  </si>
  <si>
    <t>2017-12-15T00:00:00+00:00</t>
  </si>
  <si>
    <t>2017-12-21T23:59:59+00:00</t>
  </si>
  <si>
    <t>2017-12-16T15:00:00+00:00</t>
  </si>
  <si>
    <t>2017-12-22T00:00:00+00:00</t>
  </si>
  <si>
    <t>2017-12-28T23:59:59+00:00</t>
  </si>
  <si>
    <t>2017-12-23T15:00:00+00:00</t>
  </si>
  <si>
    <t>2017-12-26T15:00:00+00:00</t>
  </si>
  <si>
    <t>2017-12-29T00:00:00+00:00</t>
  </si>
  <si>
    <t>2018-01-04T23:59:59+00:00</t>
  </si>
  <si>
    <t>2017-12-30T15:00:00+00:00</t>
  </si>
  <si>
    <t>2018-01-01T15:00:00+00:00</t>
  </si>
  <si>
    <t>2018-01-12T00:00:00+00:00</t>
  </si>
  <si>
    <t>2018-01-18T23:59:59+00:00</t>
  </si>
  <si>
    <t>2018-01-13T15:00:00+00:00</t>
  </si>
  <si>
    <t>2018-01-19T00:00:00+00:00</t>
  </si>
  <si>
    <t>2018-01-25T23:59:59+00:00</t>
  </si>
  <si>
    <t>2018-01-20T15:00:00+00:00</t>
  </si>
  <si>
    <t>2018-01-26T00:00:00+00:00</t>
  </si>
  <si>
    <t>2018-02-01T23:59:59+00:00</t>
  </si>
  <si>
    <t>2018-01-30T19:45:00+00:00</t>
  </si>
  <si>
    <t>2018-01-31T19:45:00+00:00</t>
  </si>
  <si>
    <t>2018-01-31T20:00:00+00:00</t>
  </si>
  <si>
    <t>2018-02-02T00:00:00+00:00</t>
  </si>
  <si>
    <t>2018-02-08T23:59:59+00:00</t>
  </si>
  <si>
    <t>2018-02-03T15:00:00+00:00</t>
  </si>
  <si>
    <t>2018-02-09T00:00:00+00:00</t>
  </si>
  <si>
    <t>2018-02-15T23:59:59+00:00</t>
  </si>
  <si>
    <t>2018-02-10T15:00:00+00:00</t>
  </si>
  <si>
    <t>2018-02-23T00:00:00+00:00</t>
  </si>
  <si>
    <t>2018-03-01T23:59:59+00:00</t>
  </si>
  <si>
    <t>2018-02-24T15:00:00+00:00</t>
  </si>
  <si>
    <t>2018-03-02T00:00:00+00:00</t>
  </si>
  <si>
    <t>2018-03-08T23:59:59+00:00</t>
  </si>
  <si>
    <t>2018-03-03T15:00:00+00:00</t>
  </si>
  <si>
    <t>2018-03-09T00:00:00+00:00</t>
  </si>
  <si>
    <t>2018-03-15T23:59:59+00:00</t>
  </si>
  <si>
    <t>2018-03-10T15:00:00+00:00</t>
  </si>
  <si>
    <t>2018-03-16T00:00:00+00:00</t>
  </si>
  <si>
    <t>2018-03-29T23:59:59+01:00</t>
  </si>
  <si>
    <t>2018-03-17T15:00:00+00:00</t>
  </si>
  <si>
    <t>2018-03-30T00:00:00+01:00</t>
  </si>
  <si>
    <t>2018-04-05T23:59:59+01:00</t>
  </si>
  <si>
    <t>2018-03-31T15:00:00+01:00</t>
  </si>
  <si>
    <t>2018-04-06T00:00:00+01:00</t>
  </si>
  <si>
    <t>2018-04-12T23:59:59+01:00</t>
  </si>
  <si>
    <t>2018-04-07T15:00:00+01:00</t>
  </si>
  <si>
    <t>2018-04-13T00:00:00+01:00</t>
  </si>
  <si>
    <t>2018-04-19T23:59:59+01:00</t>
  </si>
  <si>
    <t>2018-04-14T15:00:00+01:00</t>
  </si>
  <si>
    <t>2018-04-20T00:00:00+01:00</t>
  </si>
  <si>
    <t>2018-04-26T23:59:59+01:00</t>
  </si>
  <si>
    <t>2018-04-21T15:00:00+01:00</t>
  </si>
  <si>
    <t>2018-04-27T00:00:00+01:00</t>
  </si>
  <si>
    <t>2018-05-03T23:59:59+01:00</t>
  </si>
  <si>
    <t>2018-04-28T15:00:00+01:00</t>
  </si>
  <si>
    <t>2018-05-04T00:00:00+01:00</t>
  </si>
  <si>
    <t>2018-05-10T23:59:59+01:00</t>
  </si>
  <si>
    <t>2018-05-05T15:00:00+01:00</t>
  </si>
  <si>
    <t>2018-05-11T00:00:00+01:00</t>
  </si>
  <si>
    <t>2018-05-17T23:59:59+01:00</t>
  </si>
  <si>
    <t>2018-05-13T15:00:00+01:00</t>
  </si>
  <si>
    <t>session</t>
  </si>
  <si>
    <t>size</t>
  </si>
  <si>
    <t>league pin</t>
  </si>
  <si>
    <t>get lineups</t>
  </si>
  <si>
    <t>no</t>
  </si>
  <si>
    <t>global</t>
  </si>
  <si>
    <t>Vicente</t>
  </si>
  <si>
    <t>Iborra</t>
  </si>
  <si>
    <t>Alexandre</t>
  </si>
  <si>
    <t>Lacazette</t>
  </si>
  <si>
    <t>Ince</t>
  </si>
  <si>
    <t>Rüdiger</t>
  </si>
  <si>
    <t>Sandro</t>
  </si>
  <si>
    <t>Ramírez</t>
  </si>
  <si>
    <t>Mathias</t>
  </si>
  <si>
    <t>Jorgensen</t>
  </si>
  <si>
    <t>Francisco</t>
  </si>
  <si>
    <t>Femenía Far</t>
  </si>
  <si>
    <t>Jonas</t>
  </si>
  <si>
    <t>Lössl</t>
  </si>
  <si>
    <t>Florian</t>
  </si>
  <si>
    <t>Lejeune</t>
  </si>
  <si>
    <t>Taylor</t>
  </si>
  <si>
    <t>Roque</t>
  </si>
  <si>
    <t>Mesa</t>
  </si>
  <si>
    <t>Depoitre</t>
  </si>
  <si>
    <t>Mounie</t>
  </si>
  <si>
    <t>Arthur</t>
  </si>
  <si>
    <t>Masuaku</t>
  </si>
  <si>
    <t>suspended</t>
  </si>
  <si>
    <t>Nahki</t>
  </si>
  <si>
    <t>Wells</t>
  </si>
  <si>
    <t>Tammy</t>
  </si>
  <si>
    <t>Abraham</t>
  </si>
  <si>
    <t>Klaassen</t>
  </si>
  <si>
    <t>Tiemoue</t>
  </si>
  <si>
    <t>Bakayoko</t>
  </si>
  <si>
    <t>Hart</t>
  </si>
  <si>
    <t>Alvaro</t>
  </si>
  <si>
    <t>Morata</t>
  </si>
  <si>
    <t>Javier</t>
  </si>
  <si>
    <t>Hernandez</t>
  </si>
  <si>
    <t>Luka</t>
  </si>
  <si>
    <t>Milivojevic</t>
  </si>
  <si>
    <t>Danilo</t>
  </si>
  <si>
    <t>Benjamin</t>
  </si>
  <si>
    <t>Mendy</t>
  </si>
  <si>
    <t>Manquillo</t>
  </si>
  <si>
    <t>Jacob</t>
  </si>
  <si>
    <t>Murphy</t>
  </si>
  <si>
    <t>Robertson</t>
  </si>
  <si>
    <t>Jóhann</t>
  </si>
  <si>
    <t>Berg Guðmundsson</t>
  </si>
  <si>
    <t>team</t>
  </si>
  <si>
    <t>Jeremy</t>
  </si>
  <si>
    <t>Romero</t>
  </si>
  <si>
    <t>Trent</t>
  </si>
  <si>
    <t>Jairo</t>
  </si>
  <si>
    <t>Mitrovic</t>
  </si>
  <si>
    <t>fname</t>
  </si>
  <si>
    <t>lname</t>
  </si>
  <si>
    <t>pid</t>
  </si>
  <si>
    <t>injured</t>
  </si>
  <si>
    <t>Pied</t>
  </si>
  <si>
    <t>Ahmed El-Sayed</t>
  </si>
  <si>
    <t>Hegazi</t>
  </si>
  <si>
    <t>Alexander-Arnold</t>
  </si>
  <si>
    <t>Riedewald</t>
  </si>
  <si>
    <t>Calvert-Lewin</t>
  </si>
  <si>
    <t>Pereyra</t>
  </si>
  <si>
    <t>Timothy</t>
  </si>
  <si>
    <t>Fosu-Mensah</t>
  </si>
  <si>
    <t>my</t>
  </si>
  <si>
    <t>Barnet</t>
  </si>
  <si>
    <t>Birmingham City</t>
  </si>
  <si>
    <t>Birmingham</t>
  </si>
  <si>
    <t>Cheltenham Town</t>
  </si>
  <si>
    <t>Cheltenham</t>
  </si>
  <si>
    <t>Hajduk Split</t>
  </si>
  <si>
    <t>Hajduk Spl</t>
  </si>
  <si>
    <t>Ipswich Town</t>
  </si>
  <si>
    <t>Ipswich To</t>
  </si>
  <si>
    <t>MK Dons</t>
  </si>
  <si>
    <t>Rotherham United</t>
  </si>
  <si>
    <t xml:space="preserve">Rotherham </t>
  </si>
  <si>
    <t>Sheffield United</t>
  </si>
  <si>
    <t>TSG 1899 Hoffenheim</t>
  </si>
  <si>
    <t>TSG 1899 H</t>
  </si>
  <si>
    <t>points</t>
  </si>
  <si>
    <t>https://backend-nuk.fanhubmedia.com.au/api/user/session?sid=</t>
  </si>
  <si>
    <t>d98d619b-b6dd-48da-af36-6f894811cbc2</t>
  </si>
  <si>
    <t>Hill</t>
  </si>
  <si>
    <t>GUTSHOT ELITE HIGH BB BML1</t>
  </si>
  <si>
    <t>Doran</t>
  </si>
  <si>
    <t>Blue and Red Army</t>
  </si>
  <si>
    <t>Thomas</t>
  </si>
  <si>
    <t>LEES ELITE</t>
  </si>
  <si>
    <t>Wood</t>
  </si>
  <si>
    <t>1 Woody's Allstars</t>
  </si>
  <si>
    <t>Bruce</t>
  </si>
  <si>
    <t>Baer</t>
  </si>
  <si>
    <t>Xenia Wood</t>
  </si>
  <si>
    <t>White</t>
  </si>
  <si>
    <t>MADCHESTER UTD</t>
  </si>
  <si>
    <t>The Untouchables</t>
  </si>
  <si>
    <t>Finnis</t>
  </si>
  <si>
    <t>Ken Thorn Elite</t>
  </si>
  <si>
    <t>Richard</t>
  </si>
  <si>
    <t>Kellard</t>
  </si>
  <si>
    <t>Ricks Raiders</t>
  </si>
  <si>
    <t>Moores</t>
  </si>
  <si>
    <t>YE Elite</t>
  </si>
  <si>
    <t>Nuttie</t>
  </si>
  <si>
    <t>Hotpot Elite</t>
  </si>
  <si>
    <t>Callaghan</t>
  </si>
  <si>
    <t>Team 1</t>
  </si>
  <si>
    <t>Morris</t>
  </si>
  <si>
    <t>HAZARD WARNING</t>
  </si>
  <si>
    <t>Place</t>
  </si>
  <si>
    <t>RONNYS ELITE</t>
  </si>
  <si>
    <t>Cox</t>
  </si>
  <si>
    <t>Second Coming</t>
  </si>
  <si>
    <t>Clarke</t>
  </si>
  <si>
    <t>JessyJamesFC</t>
  </si>
  <si>
    <t>Ed</t>
  </si>
  <si>
    <t>Jonesbones Elite</t>
  </si>
  <si>
    <t>Ferguson</t>
  </si>
  <si>
    <t>2 Girls 1 Schlupp</t>
  </si>
  <si>
    <t>Cooper</t>
  </si>
  <si>
    <t>HAKIN UTD AFC EL</t>
  </si>
  <si>
    <t>Richards</t>
  </si>
  <si>
    <t>TF7</t>
  </si>
  <si>
    <t>Graham</t>
  </si>
  <si>
    <t>Payne</t>
  </si>
  <si>
    <t>Pierre van Hooijdonk</t>
  </si>
  <si>
    <t>Achtung Baby E</t>
  </si>
  <si>
    <t>Kenneth</t>
  </si>
  <si>
    <t>Morton</t>
  </si>
  <si>
    <t>Elysium</t>
  </si>
  <si>
    <t>Dolan</t>
  </si>
  <si>
    <t>Die Stund' ist da</t>
  </si>
  <si>
    <t>Leo</t>
  </si>
  <si>
    <t>Stoney 1</t>
  </si>
  <si>
    <t>Brindley</t>
  </si>
  <si>
    <t>Ex Pro Elite</t>
  </si>
  <si>
    <t>Tonkin</t>
  </si>
  <si>
    <t>Elite Vid</t>
  </si>
  <si>
    <t>Vickers</t>
  </si>
  <si>
    <t>Lokomotiv Northwich</t>
  </si>
  <si>
    <t>Amandeep</t>
  </si>
  <si>
    <t>Tattla</t>
  </si>
  <si>
    <t>Redrum Unleashed</t>
  </si>
  <si>
    <t>Seymour</t>
  </si>
  <si>
    <t>Seysey's Elite</t>
  </si>
  <si>
    <t>Bryan</t>
  </si>
  <si>
    <t>O'Rourke</t>
  </si>
  <si>
    <t>Baggies Kaneless 1</t>
  </si>
  <si>
    <t>Haynes</t>
  </si>
  <si>
    <t>Plevna 1963 Elite</t>
  </si>
  <si>
    <t>Samuel</t>
  </si>
  <si>
    <t>Reeve</t>
  </si>
  <si>
    <t>Monkeh Wanderers</t>
  </si>
  <si>
    <t>William</t>
  </si>
  <si>
    <t>Prendergast</t>
  </si>
  <si>
    <t>WNP Elite</t>
  </si>
  <si>
    <t>Aris</t>
  </si>
  <si>
    <t>The Black Dogs FC</t>
  </si>
  <si>
    <t>Srikant</t>
  </si>
  <si>
    <t>Adla</t>
  </si>
  <si>
    <t>Iksh ManUtd1</t>
  </si>
  <si>
    <t>DAVID</t>
  </si>
  <si>
    <t>EVANS</t>
  </si>
  <si>
    <t>RED SOLO</t>
  </si>
  <si>
    <t>Marshall</t>
  </si>
  <si>
    <t>Chrismar Elite</t>
  </si>
  <si>
    <t>Edmondson</t>
  </si>
  <si>
    <t>Edmo Utd</t>
  </si>
  <si>
    <t>Miles</t>
  </si>
  <si>
    <t>Thorne</t>
  </si>
  <si>
    <t>Miles Elite</t>
  </si>
  <si>
    <t>Brenchley</t>
  </si>
  <si>
    <t>johnboy72</t>
  </si>
  <si>
    <t>Warren</t>
  </si>
  <si>
    <t>Bobbys boys</t>
  </si>
  <si>
    <t>Ian</t>
  </si>
  <si>
    <t>Skillington</t>
  </si>
  <si>
    <t>Surface To Air</t>
  </si>
  <si>
    <t>John-Paul</t>
  </si>
  <si>
    <t>Knight</t>
  </si>
  <si>
    <t>jpk</t>
  </si>
  <si>
    <t>Stringer</t>
  </si>
  <si>
    <t>Blade Runner</t>
  </si>
  <si>
    <t>kongo</t>
  </si>
  <si>
    <t>elcee 11</t>
  </si>
  <si>
    <t>Nags Head Rovers</t>
  </si>
  <si>
    <t>Neville</t>
  </si>
  <si>
    <t>Livesey</t>
  </si>
  <si>
    <t>Zimmerman Elite</t>
  </si>
  <si>
    <t>Ty</t>
  </si>
  <si>
    <t>Bensley</t>
  </si>
  <si>
    <t>Boca Seniors</t>
  </si>
  <si>
    <t>Neil</t>
  </si>
  <si>
    <t>France</t>
  </si>
  <si>
    <t>No Chance</t>
  </si>
  <si>
    <t>Lorenzo</t>
  </si>
  <si>
    <t>Consiglio</t>
  </si>
  <si>
    <t>Spaghetti fc</t>
  </si>
  <si>
    <t>Watson</t>
  </si>
  <si>
    <t>Wattos Winners</t>
  </si>
  <si>
    <t>Robb</t>
  </si>
  <si>
    <t>Shut Up Mimsy</t>
  </si>
  <si>
    <t>LIAM</t>
  </si>
  <si>
    <t>BAKER</t>
  </si>
  <si>
    <t>llama elite</t>
  </si>
  <si>
    <t>McGow</t>
  </si>
  <si>
    <t>Jeffmcgow FISO Elite</t>
  </si>
  <si>
    <t>Oscar</t>
  </si>
  <si>
    <t>Deacy</t>
  </si>
  <si>
    <t>Elite Time for trumpton</t>
  </si>
  <si>
    <t>Harkin</t>
  </si>
  <si>
    <t>Aberdeen Giants</t>
  </si>
  <si>
    <t>Winter</t>
  </si>
  <si>
    <t>Stretchman</t>
  </si>
  <si>
    <t>Dempsey</t>
  </si>
  <si>
    <t>martin</t>
  </si>
  <si>
    <t>Mick</t>
  </si>
  <si>
    <t>Wall</t>
  </si>
  <si>
    <t>Zarch FISO Elite</t>
  </si>
  <si>
    <t>Ismail</t>
  </si>
  <si>
    <t>Blackburn dynamos</t>
  </si>
  <si>
    <t>Beasley</t>
  </si>
  <si>
    <t>Psychedelic  Proglodytes</t>
  </si>
  <si>
    <t>Martyn</t>
  </si>
  <si>
    <t>Angry Dufflecoat</t>
  </si>
  <si>
    <t>Stevens</t>
  </si>
  <si>
    <t>Kilmarnock</t>
  </si>
  <si>
    <t>Weaver</t>
  </si>
  <si>
    <t>elite</t>
  </si>
  <si>
    <t>Zeshan</t>
  </si>
  <si>
    <t>Khanzada</t>
  </si>
  <si>
    <t>Mo Salah Mo Problems</t>
  </si>
  <si>
    <t>Jude</t>
  </si>
  <si>
    <t>Carpenter</t>
  </si>
  <si>
    <t>The Long Haul</t>
  </si>
  <si>
    <t>Alan</t>
  </si>
  <si>
    <t>Adair</t>
  </si>
  <si>
    <t>Spagetti Wanyamas</t>
  </si>
  <si>
    <t>Nigel</t>
  </si>
  <si>
    <t>Dodds</t>
  </si>
  <si>
    <t>Metropolitan Elite</t>
  </si>
  <si>
    <t>Nicola</t>
  </si>
  <si>
    <t>Rea</t>
  </si>
  <si>
    <t>Football Punt</t>
  </si>
  <si>
    <t>Barratt</t>
  </si>
  <si>
    <t>K2</t>
  </si>
  <si>
    <t>Tony</t>
  </si>
  <si>
    <t>H.</t>
  </si>
  <si>
    <t>Monopoly101</t>
  </si>
  <si>
    <t>Trev</t>
  </si>
  <si>
    <t>Simmonds</t>
  </si>
  <si>
    <t>Tcs2y</t>
  </si>
  <si>
    <t>Shaun</t>
  </si>
  <si>
    <t>Red 1</t>
  </si>
  <si>
    <t>Magic Plums E</t>
  </si>
  <si>
    <t>Robinson</t>
  </si>
  <si>
    <t>Chrispy Elite</t>
  </si>
  <si>
    <t>Sutton</t>
  </si>
  <si>
    <t>Suttons elite</t>
  </si>
  <si>
    <t>Paolo</t>
  </si>
  <si>
    <t>Raia</t>
  </si>
  <si>
    <t>COYS</t>
  </si>
  <si>
    <t>Kris</t>
  </si>
  <si>
    <t>United here we come Elite</t>
  </si>
  <si>
    <t>Micky</t>
  </si>
  <si>
    <t>Mulligan</t>
  </si>
  <si>
    <t>one last time fc</t>
  </si>
  <si>
    <t>Waddell</t>
  </si>
  <si>
    <t>King Of The North</t>
  </si>
  <si>
    <t>Jon</t>
  </si>
  <si>
    <t>Webb</t>
  </si>
  <si>
    <t>Anotherchance99</t>
  </si>
  <si>
    <t>Reality Dysfunction</t>
  </si>
  <si>
    <t>Elite Team</t>
  </si>
  <si>
    <t>Stu</t>
  </si>
  <si>
    <t>Jurgen Klopp Elite</t>
  </si>
  <si>
    <t>Shakermeisters</t>
  </si>
  <si>
    <t>Brooker</t>
  </si>
  <si>
    <t>000 Team issaca</t>
  </si>
  <si>
    <t>Reece</t>
  </si>
  <si>
    <t>Allison</t>
  </si>
  <si>
    <t>Tip Top</t>
  </si>
  <si>
    <t>Justin</t>
  </si>
  <si>
    <t>Jucksters</t>
  </si>
  <si>
    <t>Brett</t>
  </si>
  <si>
    <t>Hagen</t>
  </si>
  <si>
    <t>Brettley Elite</t>
  </si>
  <si>
    <t>Passarelli</t>
  </si>
  <si>
    <t>Total Morst</t>
  </si>
  <si>
    <t>Hailey</t>
  </si>
  <si>
    <t>FISO RINKY</t>
  </si>
  <si>
    <t>Harrison</t>
  </si>
  <si>
    <t>CH Elite</t>
  </si>
  <si>
    <t>Anderson Gordon</t>
  </si>
  <si>
    <t>Jagduracell Elite</t>
  </si>
  <si>
    <t>Leggatt</t>
  </si>
  <si>
    <t>legs elite 11</t>
  </si>
  <si>
    <t>Garrie</t>
  </si>
  <si>
    <t>Dodson</t>
  </si>
  <si>
    <t>Tartlets</t>
  </si>
  <si>
    <t>Flint</t>
  </si>
  <si>
    <t>Mare Cognitum</t>
  </si>
  <si>
    <t>Jokic</t>
  </si>
  <si>
    <t>Ayew keane on Mee</t>
  </si>
  <si>
    <t>Wade</t>
  </si>
  <si>
    <t>Loose</t>
  </si>
  <si>
    <t>allmost blue</t>
  </si>
  <si>
    <t>Ray</t>
  </si>
  <si>
    <t>Tait</t>
  </si>
  <si>
    <t>Suzykins I</t>
  </si>
  <si>
    <t>Hough</t>
  </si>
  <si>
    <t>Forest Badgers 1</t>
  </si>
  <si>
    <t>Last Rumble in Fat City</t>
  </si>
  <si>
    <t>Kenny</t>
  </si>
  <si>
    <t>Byrne</t>
  </si>
  <si>
    <t>duzBme FC</t>
  </si>
  <si>
    <t>Boyes</t>
  </si>
  <si>
    <t>LadiesMan217</t>
  </si>
  <si>
    <t>McCallion</t>
  </si>
  <si>
    <t>Bring back Big Sam</t>
  </si>
  <si>
    <t>Abbot</t>
  </si>
  <si>
    <t>Yorkyowl Elite</t>
  </si>
  <si>
    <t>Huie</t>
  </si>
  <si>
    <t>Wolviebob Elite</t>
  </si>
  <si>
    <t>Julian</t>
  </si>
  <si>
    <t>FISO Jules</t>
  </si>
  <si>
    <t>Bloodworth</t>
  </si>
  <si>
    <t>Ashers Elite</t>
  </si>
  <si>
    <t>Chandler</t>
  </si>
  <si>
    <t>banshee</t>
  </si>
  <si>
    <t>Oakley</t>
  </si>
  <si>
    <t>Boo Boys</t>
  </si>
  <si>
    <t>Terry</t>
  </si>
  <si>
    <t>Gridley</t>
  </si>
  <si>
    <t>Jamaica</t>
  </si>
  <si>
    <t>Glyn</t>
  </si>
  <si>
    <t>Rigby</t>
  </si>
  <si>
    <t>The Pom</t>
  </si>
  <si>
    <t>foxinthebox5</t>
  </si>
  <si>
    <t>Grasby</t>
  </si>
  <si>
    <t>Elite Backlash</t>
  </si>
  <si>
    <t>Page</t>
  </si>
  <si>
    <t>frattonender</t>
  </si>
  <si>
    <t>Bernie</t>
  </si>
  <si>
    <t>Hartley</t>
  </si>
  <si>
    <t>PNEGentryBoys1</t>
  </si>
  <si>
    <t>1. FC Köln</t>
  </si>
  <si>
    <t>Apollon Limassol</t>
  </si>
  <si>
    <t>Apollon Li</t>
  </si>
  <si>
    <t>Atalanta</t>
  </si>
  <si>
    <t>BATE Borisov</t>
  </si>
  <si>
    <t>BATE Boris</t>
  </si>
  <si>
    <t>Crvena Zvezda</t>
  </si>
  <si>
    <t>Crvena Zve</t>
  </si>
  <si>
    <t>Doncaster Rovers</t>
  </si>
  <si>
    <t xml:space="preserve">Doncaster </t>
  </si>
  <si>
    <t>Maribor</t>
  </si>
  <si>
    <t>Spartak Moscow</t>
  </si>
  <si>
    <t>Spartak Mo</t>
  </si>
  <si>
    <t>Price  2</t>
  </si>
  <si>
    <t>Price  3</t>
  </si>
  <si>
    <t>Price  4</t>
  </si>
  <si>
    <t>Score  2</t>
  </si>
  <si>
    <t>Score  3</t>
  </si>
  <si>
    <t>Zlatan</t>
  </si>
  <si>
    <t>Ibrahimovic</t>
  </si>
  <si>
    <t>Elliot</t>
  </si>
  <si>
    <t>Joselu</t>
  </si>
  <si>
    <t>Jese</t>
  </si>
  <si>
    <t>Alberto</t>
  </si>
  <si>
    <t>Moreno</t>
  </si>
  <si>
    <t>DeAndre</t>
  </si>
  <si>
    <t>Yedlin</t>
  </si>
  <si>
    <t>Walker-Peters</t>
  </si>
  <si>
    <t>Izquierdo</t>
  </si>
  <si>
    <t>Renato</t>
  </si>
  <si>
    <t>Sanches</t>
  </si>
  <si>
    <t>Davinson</t>
  </si>
  <si>
    <t>Richarlison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</si>
</sst>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_-* #,##0_-;\-* #,##0_-;_-* &quot;-&quot;??_-;_-@_-"/>
    <numFmt numFmtId="165" formatCode="0.0,,"/>
  </numFmts>
  <fonts count="4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  <xf numFmtId="164" fontId="0" fillId="0" borderId="0" xfId="2" applyNumberFormat="1" applyFont="1"/>
    <xf numFmtId="0" fontId="0" fillId="0" borderId="0" xfId="2" applyNumberFormat="1" applyFont="1"/>
    <xf numFmtId="0" fontId="0" fillId="0" borderId="0" xfId="0" applyNumberFormat="1" applyAlignment="1">
      <alignment horizontal="left"/>
    </xf>
    <xf numFmtId="0" fontId="0" fillId="0" borderId="0" xfId="1" applyNumberFormat="1" applyFont="1"/>
    <xf numFmtId="164" fontId="0" fillId="0" borderId="0" xfId="2" applyNumberFormat="1" applyFont="1" applyAlignment="1">
      <alignment horizontal="left"/>
    </xf>
    <xf numFmtId="165" fontId="0" fillId="0" borderId="0" xfId="0" applyNumberFormat="1"/>
    <xf numFmtId="16" fontId="0" fillId="0" borderId="0" xfId="0" applyNumberFormat="1"/>
    <xf numFmtId="14" fontId="0" fillId="0" borderId="0" xfId="0" applyNumberFormat="1"/>
    <xf numFmtId="17" fontId="0" fillId="0" borderId="0" xfId="0" applyNumberFormat="1"/>
    <xf numFmtId="0" fontId="0" fillId="0" borderId="0" xfId="0" quotePrefix="1"/>
    <xf numFmtId="0" fontId="3" fillId="0" borderId="0" xfId="3" applyAlignment="1" applyProtection="1"/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ackend-nuk.fanhubmedia.com.au/api/user/session?sid=" TargetMode="Externa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GZ494"/>
  <sheetViews>
    <sheetView topLeftCell="Q1" zoomScale="85" zoomScaleNormal="85" workbookViewId="0">
      <selection activeCell="DE1" sqref="DE1"/>
    </sheetView>
  </sheetViews>
  <sheetFormatPr defaultRowHeight="15"/>
  <cols>
    <col min="2" max="5" width="10.140625" style="1" customWidth="1"/>
    <col min="6" max="6" width="10.140625" style="8" customWidth="1"/>
    <col min="7" max="9" width="10.140625" style="1" customWidth="1"/>
    <col min="10" max="21" width="12.42578125" style="3" customWidth="1"/>
    <col min="22" max="47" width="12.42578125" style="3" hidden="1" customWidth="1"/>
    <col min="48" max="52" width="10.140625" style="4" hidden="1" customWidth="1"/>
    <col min="53" max="68" width="10.140625" style="1" hidden="1" customWidth="1"/>
    <col min="69" max="69" width="10.140625" style="4" hidden="1" customWidth="1"/>
    <col min="70" max="93" width="10.140625" style="1" hidden="1" customWidth="1"/>
    <col min="94" max="94" width="21.7109375" style="3" hidden="1" customWidth="1"/>
    <col min="95" max="95" width="14.7109375" style="1" hidden="1" customWidth="1"/>
    <col min="96" max="98" width="9.140625" style="1" hidden="1" customWidth="1"/>
    <col min="99" max="100" width="0" style="1" hidden="1" customWidth="1"/>
    <col min="101" max="101" width="21.7109375" style="1" customWidth="1"/>
    <col min="102" max="102" width="14.7109375" style="1" customWidth="1"/>
    <col min="103" max="107" width="9.140625" style="1"/>
    <col min="111" max="121" width="20.7109375" customWidth="1"/>
  </cols>
  <sheetData>
    <row r="1" spans="1:121">
      <c r="A1" t="s">
        <v>809</v>
      </c>
      <c r="B1" s="1" t="s">
        <v>810</v>
      </c>
      <c r="C1" s="1" t="s">
        <v>811</v>
      </c>
      <c r="D1" s="1" t="s">
        <v>812</v>
      </c>
      <c r="E1" s="1" t="s">
        <v>828</v>
      </c>
      <c r="F1" s="8" t="s">
        <v>813</v>
      </c>
      <c r="G1" s="1" t="s">
        <v>814</v>
      </c>
      <c r="H1" s="1" t="s">
        <v>815</v>
      </c>
      <c r="I1" s="1" t="s">
        <v>1317</v>
      </c>
      <c r="J1" s="3" t="s">
        <v>1318</v>
      </c>
      <c r="K1" s="3" t="s">
        <v>1319</v>
      </c>
      <c r="L1" s="3" t="s">
        <v>816</v>
      </c>
      <c r="M1" s="3" t="s">
        <v>1320</v>
      </c>
      <c r="N1" s="3" t="s">
        <v>1321</v>
      </c>
      <c r="O1" s="3" t="s">
        <v>817</v>
      </c>
      <c r="P1" s="3" t="s">
        <v>818</v>
      </c>
      <c r="Q1" s="3" t="s">
        <v>819</v>
      </c>
      <c r="R1" s="3" t="s">
        <v>820</v>
      </c>
      <c r="S1" s="3" t="s">
        <v>821</v>
      </c>
      <c r="T1" s="3" t="s">
        <v>822</v>
      </c>
      <c r="U1" s="3" t="s">
        <v>823</v>
      </c>
      <c r="V1" s="3" t="s">
        <v>824</v>
      </c>
      <c r="W1" s="3" t="s">
        <v>825</v>
      </c>
      <c r="X1" s="3" t="s">
        <v>826</v>
      </c>
      <c r="Y1" s="3" t="s">
        <v>827</v>
      </c>
      <c r="Z1" s="3" t="s">
        <v>829</v>
      </c>
      <c r="CP1" s="7"/>
      <c r="CR1" s="6"/>
      <c r="DC1" s="9"/>
      <c r="DD1" s="1"/>
      <c r="DE1" s="9"/>
      <c r="DF1" s="1"/>
      <c r="DG1" s="9"/>
      <c r="DH1" s="1"/>
      <c r="DI1" s="9"/>
      <c r="DJ1" s="1"/>
      <c r="DK1" s="9"/>
      <c r="DL1" s="1"/>
      <c r="DM1" s="9"/>
      <c r="DN1" s="1"/>
      <c r="DO1" s="9"/>
      <c r="DP1" s="1"/>
      <c r="DQ1" s="9"/>
    </row>
    <row r="2" spans="1:121">
      <c r="A2">
        <v>1632</v>
      </c>
      <c r="B2" s="1" t="s">
        <v>226</v>
      </c>
      <c r="C2" s="1" t="s">
        <v>227</v>
      </c>
      <c r="D2" s="1" t="str">
        <f>VLOOKUP( 35,Squads!A:E,5,0)</f>
        <v>WBA</v>
      </c>
      <c r="E2" s="1" t="str">
        <f>VLOOKUP( 3,$CX$2:$CY$5,2,0)</f>
        <v>MID</v>
      </c>
      <c r="F2" s="8">
        <v>1000000</v>
      </c>
      <c r="G2" s="1" t="s">
        <v>0</v>
      </c>
      <c r="H2" s="1">
        <v>1000000</v>
      </c>
      <c r="I2" s="1">
        <v>1000000</v>
      </c>
      <c r="J2" s="3">
        <v>1000000</v>
      </c>
      <c r="K2" s="3">
        <v>1000000</v>
      </c>
      <c r="M2" s="3">
        <v>3</v>
      </c>
      <c r="N2" s="3">
        <v>0</v>
      </c>
      <c r="O2" s="3">
        <v>108</v>
      </c>
      <c r="P2" s="3">
        <v>178</v>
      </c>
      <c r="Q2" s="3">
        <v>3</v>
      </c>
      <c r="R2" s="3">
        <v>3</v>
      </c>
      <c r="S2" s="3">
        <v>1</v>
      </c>
      <c r="T2" s="3">
        <v>3</v>
      </c>
      <c r="U2" s="3">
        <v>0</v>
      </c>
      <c r="V2" s="3">
        <v>1</v>
      </c>
      <c r="W2" s="3">
        <v>0.6</v>
      </c>
      <c r="X2" s="3">
        <v>4512</v>
      </c>
      <c r="Y2" s="3">
        <v>0.4</v>
      </c>
      <c r="Z2" s="3">
        <v>0</v>
      </c>
      <c r="CP2" s="7"/>
      <c r="CR2" s="6"/>
      <c r="CX2" s="1">
        <v>1</v>
      </c>
      <c r="CY2" s="1" t="s">
        <v>774</v>
      </c>
      <c r="DA2"/>
      <c r="DC2"/>
      <c r="DD2" s="1"/>
      <c r="DF2" s="1"/>
      <c r="DH2" s="1"/>
      <c r="DJ2" s="1"/>
      <c r="DL2" s="1"/>
      <c r="DN2" s="1"/>
      <c r="DP2" s="1"/>
    </row>
    <row r="3" spans="1:121">
      <c r="A3">
        <v>2404</v>
      </c>
      <c r="B3" s="1" t="s">
        <v>238</v>
      </c>
      <c r="C3" s="1" t="s">
        <v>276</v>
      </c>
      <c r="D3" s="1" t="str">
        <f>VLOOKUP( 1,Squads!A:E,5,0)</f>
        <v>MUN</v>
      </c>
      <c r="E3" s="1" t="str">
        <f>VLOOKUP( 3,$CX$2:$CY$5,2,0)</f>
        <v>MID</v>
      </c>
      <c r="F3" s="8">
        <v>2000000</v>
      </c>
      <c r="G3" s="1" t="s">
        <v>0</v>
      </c>
      <c r="H3" s="1">
        <v>2000000</v>
      </c>
      <c r="I3" s="1">
        <v>2000000</v>
      </c>
      <c r="J3" s="3">
        <v>2000000</v>
      </c>
      <c r="K3" s="3">
        <v>2000000</v>
      </c>
      <c r="O3" s="3">
        <v>0</v>
      </c>
      <c r="P3" s="3">
        <v>218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1</v>
      </c>
      <c r="W3" s="3">
        <v>0.6</v>
      </c>
      <c r="X3" s="3">
        <v>2630</v>
      </c>
      <c r="Y3" s="3">
        <v>0.2</v>
      </c>
      <c r="Z3" s="3">
        <v>0</v>
      </c>
      <c r="CX3" s="1">
        <v>2</v>
      </c>
      <c r="CY3" s="1" t="s">
        <v>773</v>
      </c>
      <c r="DA3"/>
      <c r="DC3"/>
      <c r="DD3" s="1"/>
      <c r="DF3" s="1"/>
      <c r="DH3" s="1"/>
      <c r="DJ3" s="1"/>
      <c r="DL3" s="1"/>
      <c r="DN3" s="1"/>
      <c r="DP3" s="1"/>
    </row>
    <row r="4" spans="1:121">
      <c r="A4">
        <v>3773</v>
      </c>
      <c r="B4" s="1" t="s">
        <v>384</v>
      </c>
      <c r="C4" s="1" t="s">
        <v>385</v>
      </c>
      <c r="D4" s="1" t="str">
        <f>VLOOKUP( 110,Squads!A:E,5,0)</f>
        <v>STK</v>
      </c>
      <c r="E4" s="1" t="str">
        <f>VLOOKUP( 4,$CX$2:$CY$5,2,0)</f>
        <v>STR</v>
      </c>
      <c r="F4" s="8">
        <v>2800000</v>
      </c>
      <c r="G4" s="1" t="s">
        <v>0</v>
      </c>
      <c r="H4" s="1">
        <v>2500000</v>
      </c>
      <c r="I4" s="1">
        <v>2500000</v>
      </c>
      <c r="J4" s="3">
        <v>2500000</v>
      </c>
      <c r="K4" s="3">
        <v>2800000</v>
      </c>
      <c r="L4" s="3">
        <v>0</v>
      </c>
      <c r="M4" s="3">
        <v>8</v>
      </c>
      <c r="N4" s="3">
        <v>8</v>
      </c>
      <c r="O4" s="3">
        <v>13</v>
      </c>
      <c r="P4" s="3">
        <v>42</v>
      </c>
      <c r="Q4" s="3">
        <v>3</v>
      </c>
      <c r="R4" s="3">
        <v>16</v>
      </c>
      <c r="S4" s="3">
        <v>5.3</v>
      </c>
      <c r="T4" s="3">
        <v>8</v>
      </c>
      <c r="U4" s="3">
        <v>0</v>
      </c>
      <c r="V4" s="3">
        <v>5.3</v>
      </c>
      <c r="W4" s="3">
        <v>6.2</v>
      </c>
      <c r="X4" s="3">
        <v>2738</v>
      </c>
      <c r="Y4" s="3">
        <v>0.2</v>
      </c>
      <c r="Z4" s="3">
        <v>0</v>
      </c>
      <c r="CX4" s="1">
        <v>3</v>
      </c>
      <c r="CY4" s="1" t="s">
        <v>544</v>
      </c>
      <c r="DA4"/>
      <c r="DC4"/>
      <c r="DD4" s="1"/>
      <c r="DF4" s="1"/>
      <c r="DH4" s="1"/>
      <c r="DJ4" s="1"/>
      <c r="DL4" s="1"/>
      <c r="DN4" s="1"/>
      <c r="DP4" s="1"/>
    </row>
    <row r="5" spans="1:121">
      <c r="A5">
        <v>6744</v>
      </c>
      <c r="B5" s="1" t="s">
        <v>358</v>
      </c>
      <c r="C5" s="1" t="s">
        <v>303</v>
      </c>
      <c r="D5" s="1" t="str">
        <f>VLOOKUP( 110,Squads!A:E,5,0)</f>
        <v>STK</v>
      </c>
      <c r="E5" s="1" t="str">
        <f>VLOOKUP( 1,$CX$2:$CY$5,2,0)</f>
        <v>GK</v>
      </c>
      <c r="F5" s="8">
        <v>2000000</v>
      </c>
      <c r="G5" s="1" t="s">
        <v>0</v>
      </c>
      <c r="H5" s="1">
        <v>2000000</v>
      </c>
      <c r="I5" s="1">
        <v>2000000</v>
      </c>
      <c r="J5" s="3">
        <v>2000000</v>
      </c>
      <c r="K5" s="3">
        <v>2000000</v>
      </c>
      <c r="M5" s="3">
        <v>8</v>
      </c>
      <c r="O5" s="3">
        <v>0</v>
      </c>
      <c r="P5" s="3">
        <v>103</v>
      </c>
      <c r="Q5" s="3">
        <v>1</v>
      </c>
      <c r="R5" s="3">
        <v>8</v>
      </c>
      <c r="S5" s="3">
        <v>8</v>
      </c>
      <c r="T5" s="3">
        <v>8</v>
      </c>
      <c r="U5" s="3">
        <v>8</v>
      </c>
      <c r="V5" s="3">
        <v>1.3</v>
      </c>
      <c r="W5" s="3">
        <v>2.2000000000000002</v>
      </c>
      <c r="X5" s="3">
        <v>2190</v>
      </c>
      <c r="Y5" s="3">
        <v>0.2</v>
      </c>
      <c r="Z5" s="3">
        <v>0</v>
      </c>
      <c r="CP5" s="7"/>
      <c r="CR5" s="6"/>
      <c r="CX5" s="1">
        <v>4</v>
      </c>
      <c r="CY5" s="1" t="s">
        <v>775</v>
      </c>
      <c r="DA5"/>
      <c r="DC5"/>
      <c r="DD5" s="1"/>
      <c r="DF5" s="1"/>
      <c r="DH5" s="1"/>
      <c r="DJ5" s="1"/>
      <c r="DL5" s="1"/>
      <c r="DN5" s="1"/>
      <c r="DP5" s="1"/>
    </row>
    <row r="6" spans="1:121">
      <c r="A6">
        <v>7645</v>
      </c>
      <c r="B6" s="1" t="s">
        <v>179</v>
      </c>
      <c r="C6" s="1" t="s">
        <v>180</v>
      </c>
      <c r="D6" s="1" t="str">
        <f>VLOOKUP( 11,Squads!A:E,5,0)</f>
        <v>EVE</v>
      </c>
      <c r="E6" s="1" t="str">
        <f>VLOOKUP( 2,$CX$2:$CY$5,2,0)</f>
        <v>DEF</v>
      </c>
      <c r="F6" s="8">
        <v>3400000</v>
      </c>
      <c r="G6" s="1" t="s">
        <v>0</v>
      </c>
      <c r="H6" s="1">
        <v>3500000</v>
      </c>
      <c r="I6" s="1">
        <v>3500000</v>
      </c>
      <c r="J6" s="3">
        <v>3500000</v>
      </c>
      <c r="K6" s="3">
        <v>3400000</v>
      </c>
      <c r="L6" s="3">
        <v>8</v>
      </c>
      <c r="M6" s="3">
        <v>0</v>
      </c>
      <c r="N6" s="3">
        <v>-1</v>
      </c>
      <c r="O6" s="3">
        <v>199</v>
      </c>
      <c r="P6" s="3">
        <v>124</v>
      </c>
      <c r="Q6" s="3">
        <v>3</v>
      </c>
      <c r="R6" s="3">
        <v>7</v>
      </c>
      <c r="S6" s="3">
        <v>2.2999999999999998</v>
      </c>
      <c r="T6" s="3">
        <v>8</v>
      </c>
      <c r="U6" s="3">
        <v>-1</v>
      </c>
      <c r="V6" s="3">
        <v>2.2999999999999998</v>
      </c>
      <c r="W6" s="3">
        <v>2.6</v>
      </c>
      <c r="X6" s="3">
        <v>21563</v>
      </c>
      <c r="Y6" s="3">
        <v>1.9</v>
      </c>
      <c r="Z6" s="3">
        <v>0</v>
      </c>
      <c r="DA6"/>
      <c r="DC6"/>
      <c r="DD6" s="1"/>
      <c r="DF6" s="1"/>
      <c r="DH6" s="1"/>
      <c r="DJ6" s="1"/>
      <c r="DL6" s="1"/>
      <c r="DN6" s="1"/>
      <c r="DP6" s="1"/>
    </row>
    <row r="7" spans="1:121">
      <c r="A7">
        <v>7906</v>
      </c>
      <c r="B7" s="1" t="s">
        <v>271</v>
      </c>
      <c r="C7" s="1" t="s">
        <v>272</v>
      </c>
      <c r="D7" s="1" t="str">
        <f>VLOOKUP( 31,Squads!A:E,5,0)</f>
        <v>CRY</v>
      </c>
      <c r="E7" s="1" t="str">
        <f>VLOOKUP( 2,$CX$2:$CY$5,2,0)</f>
        <v>DEF</v>
      </c>
      <c r="F7" s="8">
        <v>1500000</v>
      </c>
      <c r="G7" s="1" t="s">
        <v>0</v>
      </c>
      <c r="H7" s="1">
        <v>1500000</v>
      </c>
      <c r="I7" s="1">
        <v>1500000</v>
      </c>
      <c r="J7" s="3">
        <v>1500000</v>
      </c>
      <c r="K7" s="3">
        <v>1500000</v>
      </c>
      <c r="O7" s="3">
        <v>0</v>
      </c>
      <c r="P7" s="3">
        <v>218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-1.7</v>
      </c>
      <c r="W7" s="3">
        <v>-0.6</v>
      </c>
      <c r="X7" s="3">
        <v>20856</v>
      </c>
      <c r="Y7" s="3">
        <v>1.8</v>
      </c>
      <c r="Z7" s="3">
        <v>0</v>
      </c>
      <c r="DA7"/>
      <c r="DC7"/>
      <c r="DD7" s="1"/>
      <c r="DF7" s="1"/>
      <c r="DH7" s="1"/>
      <c r="DJ7" s="1"/>
      <c r="DL7" s="1"/>
      <c r="DN7" s="1"/>
      <c r="DP7" s="1"/>
    </row>
    <row r="8" spans="1:121">
      <c r="A8">
        <v>7958</v>
      </c>
      <c r="B8" s="1" t="s">
        <v>110</v>
      </c>
      <c r="C8" s="1" t="s">
        <v>111</v>
      </c>
      <c r="D8" s="1" t="str">
        <f>VLOOKUP( 91,Squads!A:E,5,0)</f>
        <v>BOU</v>
      </c>
      <c r="E8" s="1" t="str">
        <f>VLOOKUP( 4,$CX$2:$CY$5,2,0)</f>
        <v>STR</v>
      </c>
      <c r="F8" s="8">
        <v>3700000</v>
      </c>
      <c r="G8" s="1" t="s">
        <v>0</v>
      </c>
      <c r="H8" s="1">
        <v>4000000</v>
      </c>
      <c r="I8" s="1">
        <v>4000000</v>
      </c>
      <c r="J8" s="3">
        <v>4000000</v>
      </c>
      <c r="K8" s="3">
        <v>3700000</v>
      </c>
      <c r="L8" s="3">
        <v>0</v>
      </c>
      <c r="M8" s="3">
        <v>0</v>
      </c>
      <c r="N8" s="3">
        <v>0</v>
      </c>
      <c r="O8" s="3">
        <v>108</v>
      </c>
      <c r="P8" s="3">
        <v>218</v>
      </c>
      <c r="Q8" s="3">
        <v>4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47800</v>
      </c>
      <c r="Y8" s="3">
        <v>4.2</v>
      </c>
      <c r="Z8" s="3">
        <v>0</v>
      </c>
      <c r="CF8" s="4"/>
      <c r="DA8"/>
      <c r="DC8"/>
      <c r="DD8" s="1"/>
      <c r="DF8" s="1"/>
      <c r="DH8" s="1"/>
      <c r="DJ8" s="1"/>
      <c r="DL8" s="1"/>
      <c r="DN8" s="1"/>
      <c r="DP8" s="1"/>
    </row>
    <row r="9" spans="1:121">
      <c r="A9">
        <v>8380</v>
      </c>
      <c r="B9" s="1" t="s">
        <v>149</v>
      </c>
      <c r="C9" s="1" t="s">
        <v>298</v>
      </c>
      <c r="D9" s="1" t="str">
        <f>VLOOKUP( 21,Squads!A:E,5,0)</f>
        <v>WHU</v>
      </c>
      <c r="E9" s="1" t="str">
        <f>VLOOKUP( 2,$CX$2:$CY$5,2,0)</f>
        <v>DEF</v>
      </c>
      <c r="F9" s="8">
        <v>3200000</v>
      </c>
      <c r="G9" s="1" t="s">
        <v>0</v>
      </c>
      <c r="H9" s="1">
        <v>3000000</v>
      </c>
      <c r="I9" s="1">
        <v>3000000</v>
      </c>
      <c r="J9" s="3">
        <v>3000000</v>
      </c>
      <c r="K9" s="3">
        <v>3200000</v>
      </c>
      <c r="M9" s="3">
        <v>13</v>
      </c>
      <c r="N9" s="3">
        <v>-2</v>
      </c>
      <c r="O9" s="3">
        <v>226</v>
      </c>
      <c r="P9" s="3">
        <v>78</v>
      </c>
      <c r="Q9" s="3">
        <v>2</v>
      </c>
      <c r="R9" s="3">
        <v>11</v>
      </c>
      <c r="S9" s="3">
        <v>5.5</v>
      </c>
      <c r="T9" s="3">
        <v>13</v>
      </c>
      <c r="U9" s="3">
        <v>-2</v>
      </c>
      <c r="V9" s="3">
        <v>3.7</v>
      </c>
      <c r="W9" s="3">
        <v>1.6</v>
      </c>
      <c r="X9" s="3">
        <v>3033</v>
      </c>
      <c r="Y9" s="3">
        <v>0.3</v>
      </c>
      <c r="Z9" s="3">
        <v>0</v>
      </c>
      <c r="CP9" s="7"/>
      <c r="CR9" s="6"/>
      <c r="CX9" s="9"/>
      <c r="DA9"/>
      <c r="DC9"/>
      <c r="DD9" s="1"/>
      <c r="DF9" s="1"/>
      <c r="DH9" s="1"/>
      <c r="DJ9" s="1"/>
      <c r="DL9" s="1"/>
      <c r="DN9" s="1"/>
      <c r="DP9" s="1"/>
    </row>
    <row r="10" spans="1:121">
      <c r="A10">
        <v>9047</v>
      </c>
      <c r="B10" s="1" t="s">
        <v>296</v>
      </c>
      <c r="C10" s="1" t="s">
        <v>297</v>
      </c>
      <c r="D10" s="1" t="str">
        <f>VLOOKUP( 110,Squads!A:E,5,0)</f>
        <v>STK</v>
      </c>
      <c r="E10" s="1" t="str">
        <f>VLOOKUP( 2,$CX$2:$CY$5,2,0)</f>
        <v>DEF</v>
      </c>
      <c r="F10" s="8">
        <v>2500000</v>
      </c>
      <c r="G10" s="1" t="s">
        <v>0</v>
      </c>
      <c r="H10" s="1">
        <v>2500000</v>
      </c>
      <c r="I10" s="1">
        <v>2500000</v>
      </c>
      <c r="J10" s="3">
        <v>2500000</v>
      </c>
      <c r="K10" s="3">
        <v>2500000</v>
      </c>
      <c r="O10" s="3">
        <v>0</v>
      </c>
      <c r="P10" s="3">
        <v>218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1</v>
      </c>
      <c r="W10" s="3">
        <v>0.4</v>
      </c>
      <c r="X10" s="3">
        <v>4691</v>
      </c>
      <c r="Y10" s="3">
        <v>0.4</v>
      </c>
      <c r="Z10" s="3">
        <v>0</v>
      </c>
      <c r="CP10" s="7"/>
      <c r="CR10" s="6"/>
      <c r="CX10" s="9"/>
      <c r="DA10"/>
      <c r="DC10"/>
      <c r="DD10" s="1"/>
      <c r="DF10" s="1"/>
      <c r="DH10" s="1"/>
      <c r="DJ10" s="1"/>
      <c r="DL10" s="1"/>
      <c r="DN10" s="1"/>
      <c r="DP10" s="1"/>
    </row>
    <row r="11" spans="1:121">
      <c r="A11">
        <v>9089</v>
      </c>
      <c r="B11" s="1" t="s">
        <v>211</v>
      </c>
      <c r="C11" s="1" t="s">
        <v>212</v>
      </c>
      <c r="D11" s="1" t="str">
        <f>VLOOKUP( 35,Squads!A:E,5,0)</f>
        <v>WBA</v>
      </c>
      <c r="E11" s="1" t="str">
        <f>VLOOKUP( 1,$CX$2:$CY$5,2,0)</f>
        <v>GK</v>
      </c>
      <c r="F11" s="8">
        <v>2700000</v>
      </c>
      <c r="G11" s="1" t="s">
        <v>0</v>
      </c>
      <c r="H11" s="1">
        <v>2500000</v>
      </c>
      <c r="I11" s="1">
        <v>2500000</v>
      </c>
      <c r="J11" s="3">
        <v>2500000</v>
      </c>
      <c r="K11" s="3">
        <v>2700000</v>
      </c>
      <c r="L11" s="3">
        <v>8</v>
      </c>
      <c r="M11" s="3">
        <v>5</v>
      </c>
      <c r="N11" s="3">
        <v>0</v>
      </c>
      <c r="O11" s="3">
        <v>108</v>
      </c>
      <c r="P11" s="3">
        <v>64</v>
      </c>
      <c r="Q11" s="3">
        <v>3</v>
      </c>
      <c r="R11" s="3">
        <v>13</v>
      </c>
      <c r="S11" s="3">
        <v>4.3</v>
      </c>
      <c r="T11" s="3">
        <v>8</v>
      </c>
      <c r="U11" s="3">
        <v>0</v>
      </c>
      <c r="V11" s="3">
        <v>4.3</v>
      </c>
      <c r="W11" s="3">
        <v>2.6</v>
      </c>
      <c r="X11" s="3">
        <v>31877</v>
      </c>
      <c r="Y11" s="3">
        <v>2.8</v>
      </c>
      <c r="Z11" s="3">
        <v>0</v>
      </c>
      <c r="CX11" s="9"/>
      <c r="DA11"/>
      <c r="DC11"/>
      <c r="DD11" s="1"/>
      <c r="DF11" s="1"/>
      <c r="DH11" s="1"/>
      <c r="DJ11" s="1"/>
      <c r="DL11" s="1"/>
      <c r="DN11" s="1"/>
      <c r="DP11" s="1"/>
    </row>
    <row r="12" spans="1:121">
      <c r="A12">
        <v>9808</v>
      </c>
      <c r="B12" s="1" t="s">
        <v>1322</v>
      </c>
      <c r="C12" s="1" t="s">
        <v>1323</v>
      </c>
      <c r="D12" s="1" t="str">
        <f>VLOOKUP( 1,Squads!A:E,5,0)</f>
        <v>MUN</v>
      </c>
      <c r="E12" s="1" t="str">
        <f>VLOOKUP( 4,$CX$2:$CY$5,2,0)</f>
        <v>STR</v>
      </c>
      <c r="F12" s="8">
        <v>5000000</v>
      </c>
      <c r="G12" s="1" t="s">
        <v>1011</v>
      </c>
      <c r="H12" s="1">
        <v>3500000</v>
      </c>
      <c r="I12" s="1">
        <v>5000000</v>
      </c>
      <c r="J12" s="3">
        <v>5000000</v>
      </c>
      <c r="K12" s="3">
        <v>5000000</v>
      </c>
      <c r="O12" s="3">
        <v>0</v>
      </c>
      <c r="P12" s="3">
        <v>218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3.3</v>
      </c>
      <c r="W12" s="3">
        <v>4</v>
      </c>
      <c r="X12" s="3">
        <v>1123</v>
      </c>
      <c r="Y12" s="3">
        <v>0.1</v>
      </c>
      <c r="Z12" s="3">
        <v>0</v>
      </c>
      <c r="CX12" s="9"/>
      <c r="DA12"/>
      <c r="DC12"/>
      <c r="DD12" s="1"/>
      <c r="DF12" s="1"/>
      <c r="DH12" s="1"/>
      <c r="DJ12" s="1"/>
      <c r="DL12" s="1"/>
      <c r="DN12" s="1"/>
      <c r="DP12" s="1"/>
    </row>
    <row r="13" spans="1:121">
      <c r="A13">
        <v>11334</v>
      </c>
      <c r="B13" s="1" t="s">
        <v>68</v>
      </c>
      <c r="C13" s="1" t="s">
        <v>69</v>
      </c>
      <c r="D13" s="1" t="str">
        <f>VLOOKUP( 3,Squads!A:E,5,0)</f>
        <v>ARS</v>
      </c>
      <c r="E13" s="1" t="str">
        <f>VLOOKUP( 1,$CX$2:$CY$5,2,0)</f>
        <v>GK</v>
      </c>
      <c r="F13" s="8">
        <v>3200000</v>
      </c>
      <c r="G13" s="1" t="s">
        <v>0</v>
      </c>
      <c r="H13" s="1">
        <v>3500000</v>
      </c>
      <c r="I13" s="1">
        <v>3500000</v>
      </c>
      <c r="J13" s="3">
        <v>3500000</v>
      </c>
      <c r="K13" s="3">
        <v>3200000</v>
      </c>
      <c r="L13" s="3">
        <v>-2</v>
      </c>
      <c r="M13" s="3">
        <v>0</v>
      </c>
      <c r="N13" s="3">
        <v>0</v>
      </c>
      <c r="O13" s="3">
        <v>108</v>
      </c>
      <c r="P13" s="3">
        <v>354</v>
      </c>
      <c r="Q13" s="3">
        <v>3</v>
      </c>
      <c r="R13" s="3">
        <v>-2</v>
      </c>
      <c r="S13" s="3">
        <v>-0.7</v>
      </c>
      <c r="T13" s="3">
        <v>0</v>
      </c>
      <c r="U13" s="3">
        <v>-2</v>
      </c>
      <c r="V13" s="3">
        <v>-0.7</v>
      </c>
      <c r="W13" s="3">
        <v>0.2</v>
      </c>
      <c r="X13" s="3">
        <v>76677</v>
      </c>
      <c r="Y13" s="3">
        <v>6.7</v>
      </c>
      <c r="Z13" s="3">
        <v>0</v>
      </c>
      <c r="CX13" s="9"/>
      <c r="DA13"/>
      <c r="DC13"/>
      <c r="DD13" s="1"/>
      <c r="DF13" s="1"/>
      <c r="DH13" s="1"/>
      <c r="DJ13" s="1"/>
      <c r="DL13" s="1"/>
      <c r="DN13" s="1"/>
      <c r="DP13" s="1"/>
    </row>
    <row r="14" spans="1:121">
      <c r="A14">
        <v>11352</v>
      </c>
      <c r="B14" s="1" t="s">
        <v>481</v>
      </c>
      <c r="C14" s="1" t="s">
        <v>776</v>
      </c>
      <c r="D14" s="1" t="str">
        <f>VLOOKUP( 36,Squads!A:E,5,0)</f>
        <v>BHA</v>
      </c>
      <c r="E14" s="1" t="str">
        <f>VLOOKUP( 2,$CX$2:$CY$5,2,0)</f>
        <v>DEF</v>
      </c>
      <c r="F14" s="8">
        <v>2000000</v>
      </c>
      <c r="G14" s="1" t="s">
        <v>0</v>
      </c>
      <c r="H14" s="1">
        <v>2000000</v>
      </c>
      <c r="I14" s="1">
        <v>2000000</v>
      </c>
      <c r="J14" s="3">
        <v>2000000</v>
      </c>
      <c r="K14" s="3">
        <v>2000000</v>
      </c>
      <c r="L14" s="3">
        <v>-1</v>
      </c>
      <c r="M14" s="3">
        <v>-1</v>
      </c>
      <c r="N14" s="3">
        <v>4</v>
      </c>
      <c r="O14" s="3">
        <v>66</v>
      </c>
      <c r="P14" s="3">
        <v>197</v>
      </c>
      <c r="Q14" s="3">
        <v>3</v>
      </c>
      <c r="R14" s="3">
        <v>2</v>
      </c>
      <c r="S14" s="3">
        <v>0.7</v>
      </c>
      <c r="T14" s="3">
        <v>4</v>
      </c>
      <c r="U14" s="3">
        <v>-1</v>
      </c>
      <c r="V14" s="3">
        <v>0.7</v>
      </c>
      <c r="W14" s="3">
        <v>0.7</v>
      </c>
      <c r="X14" s="3">
        <v>2642</v>
      </c>
      <c r="Y14" s="3">
        <v>0.2</v>
      </c>
      <c r="Z14" s="3">
        <v>0</v>
      </c>
      <c r="CP14" s="7"/>
      <c r="CR14" s="6"/>
      <c r="CX14" s="9"/>
      <c r="DA14"/>
      <c r="DC14"/>
      <c r="DD14" s="1"/>
      <c r="DF14" s="1"/>
      <c r="DH14" s="1"/>
      <c r="DJ14" s="1"/>
      <c r="DL14" s="1"/>
      <c r="DN14" s="1"/>
      <c r="DP14" s="1"/>
    </row>
    <row r="15" spans="1:121">
      <c r="A15">
        <v>11735</v>
      </c>
      <c r="B15" s="1" t="s">
        <v>315</v>
      </c>
      <c r="C15" s="1" t="s">
        <v>777</v>
      </c>
      <c r="D15" s="1" t="str">
        <f>VLOOKUP( 36,Squads!A:E,5,0)</f>
        <v>BHA</v>
      </c>
      <c r="E15" s="1" t="str">
        <f>VLOOKUP( 3,$CX$2:$CY$5,2,0)</f>
        <v>MID</v>
      </c>
      <c r="F15" s="8">
        <v>1500000</v>
      </c>
      <c r="G15" s="1" t="s">
        <v>0</v>
      </c>
      <c r="H15" s="1">
        <v>1500000</v>
      </c>
      <c r="I15" s="1">
        <v>1500000</v>
      </c>
      <c r="J15" s="3">
        <v>1500000</v>
      </c>
      <c r="K15" s="3">
        <v>1500000</v>
      </c>
      <c r="O15" s="3">
        <v>0</v>
      </c>
      <c r="P15" s="3">
        <v>218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656</v>
      </c>
      <c r="Y15" s="3">
        <v>0.1</v>
      </c>
      <c r="Z15" s="3">
        <v>0</v>
      </c>
      <c r="CP15" s="7"/>
      <c r="CR15" s="6"/>
      <c r="CX15" s="9"/>
      <c r="DA15"/>
      <c r="DC15"/>
      <c r="DD15" s="1"/>
      <c r="DF15" s="1"/>
      <c r="DH15" s="1"/>
      <c r="DJ15" s="1"/>
      <c r="DL15" s="1"/>
      <c r="DN15" s="1"/>
      <c r="DP15" s="1"/>
    </row>
    <row r="16" spans="1:121">
      <c r="A16">
        <v>11829</v>
      </c>
      <c r="B16" s="1" t="s">
        <v>92</v>
      </c>
      <c r="C16" s="1" t="s">
        <v>299</v>
      </c>
      <c r="D16" s="1" t="str">
        <f>VLOOKUP( 80,Squads!A:E,5,0)</f>
        <v>SWA</v>
      </c>
      <c r="E16" s="1" t="str">
        <f>VLOOKUP( 3,$CX$2:$CY$5,2,0)</f>
        <v>MID</v>
      </c>
      <c r="F16" s="8">
        <v>1400000</v>
      </c>
      <c r="G16" s="1" t="s">
        <v>0</v>
      </c>
      <c r="H16" s="1">
        <v>1500000</v>
      </c>
      <c r="I16" s="1">
        <v>1500000</v>
      </c>
      <c r="J16" s="3">
        <v>1500000</v>
      </c>
      <c r="K16" s="3">
        <v>1400000</v>
      </c>
      <c r="L16" s="3">
        <v>0</v>
      </c>
      <c r="M16" s="3">
        <v>0</v>
      </c>
      <c r="N16" s="3">
        <v>0</v>
      </c>
      <c r="O16" s="3">
        <v>108</v>
      </c>
      <c r="P16" s="3">
        <v>218</v>
      </c>
      <c r="Q16" s="3">
        <v>3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584</v>
      </c>
      <c r="Y16" s="3">
        <v>0.1</v>
      </c>
      <c r="Z16" s="3">
        <v>0</v>
      </c>
      <c r="CX16" s="9"/>
      <c r="CY16" s="5"/>
      <c r="DA16"/>
      <c r="DC16"/>
      <c r="DD16" s="1"/>
      <c r="DF16" s="1"/>
      <c r="DH16" s="1"/>
      <c r="DJ16" s="1"/>
      <c r="DL16" s="1"/>
      <c r="DN16" s="1"/>
      <c r="DP16" s="1"/>
    </row>
    <row r="17" spans="1:120">
      <c r="A17">
        <v>12413</v>
      </c>
      <c r="B17" s="1" t="s">
        <v>167</v>
      </c>
      <c r="C17" s="1" t="s">
        <v>168</v>
      </c>
      <c r="D17" s="1" t="str">
        <f>VLOOKUP( 13,Squads!A:E,5,0)</f>
        <v>LEI</v>
      </c>
      <c r="E17" s="1" t="str">
        <f>VLOOKUP( 2,$CX$2:$CY$5,2,0)</f>
        <v>DEF</v>
      </c>
      <c r="F17" s="8">
        <v>3500000</v>
      </c>
      <c r="G17" s="1" t="s">
        <v>1011</v>
      </c>
      <c r="H17" s="1">
        <v>3500000</v>
      </c>
      <c r="I17" s="1">
        <v>3500000</v>
      </c>
      <c r="J17" s="3">
        <v>3500000</v>
      </c>
      <c r="K17" s="3">
        <v>3500000</v>
      </c>
      <c r="O17" s="3">
        <v>0</v>
      </c>
      <c r="P17" s="3">
        <v>218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1.3</v>
      </c>
      <c r="W17" s="3">
        <v>2</v>
      </c>
      <c r="X17" s="3">
        <v>2747</v>
      </c>
      <c r="Y17" s="3">
        <v>0.2</v>
      </c>
      <c r="Z17" s="3">
        <v>0</v>
      </c>
      <c r="CX17" s="9"/>
      <c r="CY17" s="5"/>
      <c r="DA17"/>
      <c r="DC17"/>
      <c r="DD17" s="1"/>
      <c r="DF17" s="1"/>
      <c r="DH17" s="1"/>
      <c r="DJ17" s="1"/>
      <c r="DL17" s="1"/>
      <c r="DN17" s="1"/>
      <c r="DP17" s="1"/>
    </row>
    <row r="18" spans="1:120">
      <c r="A18">
        <v>12745</v>
      </c>
      <c r="B18" s="1" t="s">
        <v>113</v>
      </c>
      <c r="C18" s="1" t="s">
        <v>114</v>
      </c>
      <c r="D18" s="1" t="str">
        <f>VLOOKUP( 11,Squads!A:E,5,0)</f>
        <v>EVE</v>
      </c>
      <c r="E18" s="1" t="str">
        <f>VLOOKUP( 2,$CX$2:$CY$5,2,0)</f>
        <v>DEF</v>
      </c>
      <c r="F18" s="8">
        <v>3300000</v>
      </c>
      <c r="G18" s="1" t="s">
        <v>0</v>
      </c>
      <c r="H18" s="1">
        <v>3500000</v>
      </c>
      <c r="I18" s="1">
        <v>3500000</v>
      </c>
      <c r="J18" s="3">
        <v>3500000</v>
      </c>
      <c r="K18" s="3">
        <v>3300000</v>
      </c>
      <c r="L18" s="3">
        <v>15</v>
      </c>
      <c r="M18" s="3">
        <v>0</v>
      </c>
      <c r="N18" s="3">
        <v>-1</v>
      </c>
      <c r="O18" s="3">
        <v>199</v>
      </c>
      <c r="P18" s="3">
        <v>57</v>
      </c>
      <c r="Q18" s="3">
        <v>5</v>
      </c>
      <c r="R18" s="3">
        <v>14</v>
      </c>
      <c r="S18" s="3">
        <v>2.8</v>
      </c>
      <c r="T18" s="3">
        <v>10</v>
      </c>
      <c r="U18" s="3">
        <v>-1</v>
      </c>
      <c r="V18" s="3">
        <v>-0.3</v>
      </c>
      <c r="W18" s="3">
        <v>2.8</v>
      </c>
      <c r="X18" s="3">
        <v>148524</v>
      </c>
      <c r="Y18" s="3">
        <v>13</v>
      </c>
      <c r="Z18" s="3">
        <v>0</v>
      </c>
      <c r="CX18" s="9"/>
      <c r="CY18" s="5"/>
      <c r="DA18"/>
      <c r="DC18"/>
      <c r="DD18" s="1"/>
      <c r="DF18" s="1"/>
      <c r="DH18" s="1"/>
      <c r="DJ18" s="1"/>
      <c r="DL18" s="1"/>
      <c r="DN18" s="1"/>
      <c r="DP18" s="1"/>
    </row>
    <row r="19" spans="1:120">
      <c r="A19">
        <v>12813</v>
      </c>
      <c r="B19" s="1" t="s">
        <v>247</v>
      </c>
      <c r="C19" s="1" t="s">
        <v>248</v>
      </c>
      <c r="D19" s="1" t="str">
        <f>VLOOKUP( 90,Squads!A:E,5,0)</f>
        <v>BUR</v>
      </c>
      <c r="E19" s="1" t="str">
        <f>VLOOKUP( 4,$CX$2:$CY$5,2,0)</f>
        <v>STR</v>
      </c>
      <c r="F19" s="8">
        <v>1500000</v>
      </c>
      <c r="G19" s="1" t="s">
        <v>1011</v>
      </c>
      <c r="H19" s="1">
        <v>1500000</v>
      </c>
      <c r="I19" s="1">
        <v>1500000</v>
      </c>
      <c r="J19" s="3">
        <v>1500000</v>
      </c>
      <c r="K19" s="3">
        <v>1500000</v>
      </c>
      <c r="L19" s="3">
        <v>0</v>
      </c>
      <c r="M19" s="3">
        <v>0</v>
      </c>
      <c r="O19" s="3">
        <v>0</v>
      </c>
      <c r="P19" s="3">
        <v>218</v>
      </c>
      <c r="Q19" s="3">
        <v>3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1</v>
      </c>
      <c r="X19" s="3">
        <v>1883</v>
      </c>
      <c r="Y19" s="3">
        <v>0.2</v>
      </c>
      <c r="Z19" s="3">
        <v>0</v>
      </c>
      <c r="CX19" s="9"/>
      <c r="CY19" s="5"/>
      <c r="DA19"/>
      <c r="DC19"/>
      <c r="DD19" s="1"/>
      <c r="DF19" s="1"/>
      <c r="DH19" s="1"/>
      <c r="DJ19" s="1"/>
      <c r="DL19" s="1"/>
      <c r="DN19" s="1"/>
      <c r="DP19" s="1"/>
    </row>
    <row r="20" spans="1:120">
      <c r="A20">
        <v>13017</v>
      </c>
      <c r="B20" s="1" t="s">
        <v>92</v>
      </c>
      <c r="C20" s="1" t="s">
        <v>93</v>
      </c>
      <c r="D20" s="1" t="str">
        <f>VLOOKUP( 11,Squads!A:E,5,0)</f>
        <v>EVE</v>
      </c>
      <c r="E20" s="1" t="str">
        <f>VLOOKUP( 4,$CX$2:$CY$5,2,0)</f>
        <v>STR</v>
      </c>
      <c r="F20" s="8">
        <v>3000000</v>
      </c>
      <c r="G20" s="1" t="s">
        <v>0</v>
      </c>
      <c r="H20" s="1">
        <v>3000000</v>
      </c>
      <c r="I20" s="1">
        <v>3000000</v>
      </c>
      <c r="J20" s="3">
        <v>3000000</v>
      </c>
      <c r="K20" s="3">
        <v>3000000</v>
      </c>
      <c r="L20" s="3">
        <v>18</v>
      </c>
      <c r="M20" s="3">
        <v>7</v>
      </c>
      <c r="N20" s="3">
        <v>-1</v>
      </c>
      <c r="O20" s="3">
        <v>199</v>
      </c>
      <c r="P20" s="3">
        <v>10</v>
      </c>
      <c r="Q20" s="3">
        <v>5</v>
      </c>
      <c r="R20" s="3">
        <v>24</v>
      </c>
      <c r="S20" s="3">
        <v>4.8</v>
      </c>
      <c r="T20" s="3">
        <v>13</v>
      </c>
      <c r="U20" s="3">
        <v>-1</v>
      </c>
      <c r="V20" s="3">
        <v>2</v>
      </c>
      <c r="W20" s="3">
        <v>4.8</v>
      </c>
      <c r="X20" s="3">
        <v>222920</v>
      </c>
      <c r="Y20" s="3">
        <v>19.5</v>
      </c>
      <c r="Z20" s="3">
        <v>0</v>
      </c>
      <c r="CX20" s="9"/>
      <c r="CY20" s="5"/>
      <c r="DA20"/>
      <c r="DC20"/>
      <c r="DD20" s="1"/>
      <c r="DF20" s="1"/>
      <c r="DH20" s="1"/>
      <c r="DJ20" s="1"/>
      <c r="DL20" s="1"/>
      <c r="DN20" s="1"/>
      <c r="DP20" s="1"/>
    </row>
    <row r="21" spans="1:120">
      <c r="A21">
        <v>13152</v>
      </c>
      <c r="B21" s="1" t="s">
        <v>146</v>
      </c>
      <c r="C21" s="1" t="s">
        <v>349</v>
      </c>
      <c r="D21" s="1" t="str">
        <f>VLOOKUP( 13,Squads!A:E,5,0)</f>
        <v>LEI</v>
      </c>
      <c r="E21" s="1" t="str">
        <f>VLOOKUP( 3,$CX$2:$CY$5,2,0)</f>
        <v>MID</v>
      </c>
      <c r="F21" s="8">
        <v>1100000</v>
      </c>
      <c r="G21" s="1" t="s">
        <v>0</v>
      </c>
      <c r="H21" s="1">
        <v>1000000</v>
      </c>
      <c r="I21" s="1">
        <v>1000000</v>
      </c>
      <c r="J21" s="3">
        <v>1000000</v>
      </c>
      <c r="K21" s="3">
        <v>1100000</v>
      </c>
      <c r="M21" s="3">
        <v>5</v>
      </c>
      <c r="N21" s="3">
        <v>0</v>
      </c>
      <c r="O21" s="3">
        <v>108</v>
      </c>
      <c r="P21" s="3">
        <v>155</v>
      </c>
      <c r="Q21" s="3">
        <v>2</v>
      </c>
      <c r="R21" s="3">
        <v>5</v>
      </c>
      <c r="S21" s="3">
        <v>2.5</v>
      </c>
      <c r="T21" s="3">
        <v>5</v>
      </c>
      <c r="U21" s="3">
        <v>0</v>
      </c>
      <c r="V21" s="3">
        <v>1.7</v>
      </c>
      <c r="W21" s="3">
        <v>1</v>
      </c>
      <c r="X21" s="3">
        <v>843</v>
      </c>
      <c r="Y21" s="3">
        <v>0.1</v>
      </c>
      <c r="Z21" s="3">
        <v>0</v>
      </c>
      <c r="CX21" s="9"/>
      <c r="CY21" s="5"/>
      <c r="DA21"/>
      <c r="DC21"/>
      <c r="DD21" s="1"/>
      <c r="DF21" s="1"/>
      <c r="DH21" s="1"/>
      <c r="DJ21" s="1"/>
      <c r="DL21" s="1"/>
      <c r="DN21" s="1"/>
      <c r="DP21" s="1"/>
    </row>
    <row r="22" spans="1:120">
      <c r="A22">
        <v>14295</v>
      </c>
      <c r="B22" s="1" t="s">
        <v>323</v>
      </c>
      <c r="C22" s="1" t="s">
        <v>324</v>
      </c>
      <c r="D22" s="1" t="str">
        <f>VLOOKUP( 110,Squads!A:E,5,0)</f>
        <v>STK</v>
      </c>
      <c r="E22" s="1" t="str">
        <f>VLOOKUP( 3,$CX$2:$CY$5,2,0)</f>
        <v>MID</v>
      </c>
      <c r="F22" s="8">
        <v>1500000</v>
      </c>
      <c r="G22" s="1" t="s">
        <v>0</v>
      </c>
      <c r="H22" s="1">
        <v>1500000</v>
      </c>
      <c r="I22" s="1">
        <v>1500000</v>
      </c>
      <c r="J22" s="3">
        <v>1500000</v>
      </c>
      <c r="K22" s="3">
        <v>1500000</v>
      </c>
      <c r="L22" s="3">
        <v>3</v>
      </c>
      <c r="M22" s="3">
        <v>3</v>
      </c>
      <c r="N22" s="3">
        <v>0</v>
      </c>
      <c r="O22" s="3">
        <v>108</v>
      </c>
      <c r="P22" s="3">
        <v>139</v>
      </c>
      <c r="Q22" s="3">
        <v>4</v>
      </c>
      <c r="R22" s="3">
        <v>6</v>
      </c>
      <c r="S22" s="3">
        <v>1.5</v>
      </c>
      <c r="T22" s="3">
        <v>3</v>
      </c>
      <c r="U22" s="3">
        <v>0</v>
      </c>
      <c r="V22" s="3">
        <v>1</v>
      </c>
      <c r="W22" s="3">
        <v>1.2</v>
      </c>
      <c r="X22" s="3">
        <v>1798</v>
      </c>
      <c r="Y22" s="3">
        <v>0.2</v>
      </c>
      <c r="Z22" s="3">
        <v>0</v>
      </c>
      <c r="CX22" s="9"/>
      <c r="CY22" s="5"/>
      <c r="DA22"/>
      <c r="DC22"/>
      <c r="DD22" s="1"/>
      <c r="DF22" s="1"/>
      <c r="DH22" s="1"/>
      <c r="DJ22" s="1"/>
      <c r="DL22" s="1"/>
      <c r="DN22" s="1"/>
      <c r="DP22" s="1"/>
    </row>
    <row r="23" spans="1:120">
      <c r="A23">
        <v>14664</v>
      </c>
      <c r="B23" s="1" t="s">
        <v>178</v>
      </c>
      <c r="C23" s="1" t="s">
        <v>391</v>
      </c>
      <c r="D23" s="1" t="str">
        <f>VLOOKUP( 43,Squads!A:E,5,0)</f>
        <v>MCI</v>
      </c>
      <c r="E23" s="1" t="str">
        <f>VLOOKUP( 3,$CX$2:$CY$5,2,0)</f>
        <v>MID</v>
      </c>
      <c r="F23" s="8">
        <v>4000000</v>
      </c>
      <c r="G23" s="1" t="s">
        <v>0</v>
      </c>
      <c r="H23" s="1">
        <v>4000000</v>
      </c>
      <c r="I23" s="1">
        <v>4000000</v>
      </c>
      <c r="J23" s="3">
        <v>4000000</v>
      </c>
      <c r="K23" s="3">
        <v>4000000</v>
      </c>
      <c r="O23" s="3">
        <v>0</v>
      </c>
      <c r="P23" s="3">
        <v>218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1.3</v>
      </c>
      <c r="W23" s="3">
        <v>1.4</v>
      </c>
      <c r="X23" s="3">
        <v>11067</v>
      </c>
      <c r="Y23" s="3">
        <v>1</v>
      </c>
      <c r="Z23" s="3">
        <v>0</v>
      </c>
      <c r="CF23" s="4"/>
      <c r="CP23" s="7"/>
      <c r="CR23" s="6"/>
      <c r="CX23" s="9"/>
      <c r="CY23" s="5"/>
      <c r="DA23"/>
      <c r="DC23"/>
      <c r="DD23" s="1"/>
      <c r="DF23" s="1"/>
      <c r="DH23" s="1"/>
      <c r="DJ23" s="1"/>
      <c r="DL23" s="1"/>
      <c r="DN23" s="1"/>
      <c r="DP23" s="1"/>
    </row>
    <row r="24" spans="1:120">
      <c r="A24">
        <v>15033</v>
      </c>
      <c r="B24" s="1" t="s">
        <v>108</v>
      </c>
      <c r="C24" s="1" t="s">
        <v>109</v>
      </c>
      <c r="D24" s="1" t="str">
        <f>VLOOKUP( 13,Squads!A:E,5,0)</f>
        <v>LEI</v>
      </c>
      <c r="E24" s="1" t="str">
        <f>VLOOKUP( 2,$CX$2:$CY$5,2,0)</f>
        <v>DEF</v>
      </c>
      <c r="F24" s="8">
        <v>3000000</v>
      </c>
      <c r="G24" s="1" t="s">
        <v>0</v>
      </c>
      <c r="H24" s="1">
        <v>3000000</v>
      </c>
      <c r="I24" s="1">
        <v>3000000</v>
      </c>
      <c r="J24" s="3">
        <v>3000000</v>
      </c>
      <c r="K24" s="3">
        <v>3000000</v>
      </c>
      <c r="L24" s="3">
        <v>-4</v>
      </c>
      <c r="M24" s="3">
        <v>7</v>
      </c>
      <c r="N24" s="3">
        <v>2</v>
      </c>
      <c r="O24" s="3">
        <v>98</v>
      </c>
      <c r="P24" s="3">
        <v>155</v>
      </c>
      <c r="Q24" s="3">
        <v>3</v>
      </c>
      <c r="R24" s="3">
        <v>5</v>
      </c>
      <c r="S24" s="3">
        <v>1.7</v>
      </c>
      <c r="T24" s="3">
        <v>7</v>
      </c>
      <c r="U24" s="3">
        <v>-4</v>
      </c>
      <c r="V24" s="3">
        <v>1.7</v>
      </c>
      <c r="W24" s="3">
        <v>0.8</v>
      </c>
      <c r="X24" s="3">
        <v>9117</v>
      </c>
      <c r="Y24" s="3">
        <v>0.8</v>
      </c>
      <c r="Z24" s="3">
        <v>0</v>
      </c>
      <c r="CP24" s="7"/>
      <c r="CR24" s="6"/>
      <c r="CX24" s="9"/>
      <c r="CY24" s="5"/>
      <c r="DA24"/>
      <c r="DC24"/>
      <c r="DD24" s="1"/>
      <c r="DF24" s="1"/>
      <c r="DH24" s="1"/>
      <c r="DJ24" s="1"/>
      <c r="DL24" s="1"/>
      <c r="DN24" s="1"/>
      <c r="DP24" s="1"/>
    </row>
    <row r="25" spans="1:120">
      <c r="A25">
        <v>15149</v>
      </c>
      <c r="B25" s="1" t="s">
        <v>44</v>
      </c>
      <c r="C25" s="1" t="s">
        <v>148</v>
      </c>
      <c r="D25" s="1" t="str">
        <f>VLOOKUP( 91,Squads!A:E,5,0)</f>
        <v>BOU</v>
      </c>
      <c r="E25" s="1" t="str">
        <f>VLOOKUP( 2,$CX$2:$CY$5,2,0)</f>
        <v>DEF</v>
      </c>
      <c r="F25" s="8">
        <v>2500000</v>
      </c>
      <c r="G25" s="1" t="s">
        <v>1011</v>
      </c>
      <c r="H25" s="1">
        <v>2500000</v>
      </c>
      <c r="I25" s="1">
        <v>2500000</v>
      </c>
      <c r="J25" s="3">
        <v>2500000</v>
      </c>
      <c r="K25" s="3">
        <v>2500000</v>
      </c>
      <c r="L25" s="3">
        <v>3</v>
      </c>
      <c r="O25" s="3">
        <v>0</v>
      </c>
      <c r="P25" s="3">
        <v>178</v>
      </c>
      <c r="Q25" s="3">
        <v>1</v>
      </c>
      <c r="R25" s="3">
        <v>3</v>
      </c>
      <c r="S25" s="3">
        <v>3</v>
      </c>
      <c r="T25" s="3">
        <v>3</v>
      </c>
      <c r="U25" s="3">
        <v>3</v>
      </c>
      <c r="V25" s="3">
        <v>1.7</v>
      </c>
      <c r="W25" s="3">
        <v>4.2</v>
      </c>
      <c r="X25" s="3">
        <v>5390</v>
      </c>
      <c r="Y25" s="3">
        <v>0.5</v>
      </c>
      <c r="Z25" s="3">
        <v>0</v>
      </c>
      <c r="CP25" s="7"/>
      <c r="CR25" s="6"/>
      <c r="CX25" s="9"/>
      <c r="CY25" s="5"/>
      <c r="DA25"/>
      <c r="DC25"/>
      <c r="DD25" s="1"/>
      <c r="DF25" s="1"/>
      <c r="DH25" s="1"/>
      <c r="DJ25" s="1"/>
      <c r="DL25" s="1"/>
      <c r="DN25" s="1"/>
      <c r="DP25" s="1"/>
    </row>
    <row r="26" spans="1:120">
      <c r="A26">
        <v>15157</v>
      </c>
      <c r="B26" s="1" t="s">
        <v>149</v>
      </c>
      <c r="C26" s="1" t="s">
        <v>150</v>
      </c>
      <c r="D26" s="1" t="str">
        <f>VLOOKUP( 14,Squads!A:E,5,0)</f>
        <v>LIV</v>
      </c>
      <c r="E26" s="1" t="str">
        <f>VLOOKUP( 2,$CX$2:$CY$5,2,0)</f>
        <v>DEF</v>
      </c>
      <c r="F26" s="8">
        <v>4000000</v>
      </c>
      <c r="G26" s="1" t="s">
        <v>0</v>
      </c>
      <c r="H26" s="1">
        <v>4000000</v>
      </c>
      <c r="I26" s="1">
        <v>4000000</v>
      </c>
      <c r="J26" s="3">
        <v>4000000</v>
      </c>
      <c r="K26" s="3">
        <v>4000000</v>
      </c>
      <c r="L26" s="3">
        <v>0</v>
      </c>
      <c r="M26" s="3">
        <v>7</v>
      </c>
      <c r="N26" s="3">
        <v>5</v>
      </c>
      <c r="O26" s="3">
        <v>48</v>
      </c>
      <c r="P26" s="3">
        <v>71</v>
      </c>
      <c r="Q26" s="3">
        <v>5</v>
      </c>
      <c r="R26" s="3">
        <v>12</v>
      </c>
      <c r="S26" s="3">
        <v>2.4</v>
      </c>
      <c r="T26" s="3">
        <v>8</v>
      </c>
      <c r="U26" s="3">
        <v>-2</v>
      </c>
      <c r="V26" s="3">
        <v>4</v>
      </c>
      <c r="W26" s="3">
        <v>2.4</v>
      </c>
      <c r="X26" s="3">
        <v>70559</v>
      </c>
      <c r="Y26" s="3">
        <v>6.2</v>
      </c>
      <c r="Z26" s="3">
        <v>0</v>
      </c>
      <c r="CX26" s="9"/>
      <c r="CY26" s="5"/>
      <c r="DA26"/>
      <c r="DC26"/>
      <c r="DD26" s="1"/>
      <c r="DF26" s="1"/>
      <c r="DH26" s="1"/>
      <c r="DJ26" s="1"/>
      <c r="DL26" s="1"/>
      <c r="DN26" s="1"/>
      <c r="DP26" s="1"/>
    </row>
    <row r="27" spans="1:120">
      <c r="A27">
        <v>15237</v>
      </c>
      <c r="B27" s="1" t="s">
        <v>337</v>
      </c>
      <c r="C27" s="1" t="s">
        <v>338</v>
      </c>
      <c r="D27" s="1" t="str">
        <f>VLOOKUP( 91,Squads!A:E,5,0)</f>
        <v>BOU</v>
      </c>
      <c r="E27" s="1" t="str">
        <f>VLOOKUP( 3,$CX$2:$CY$5,2,0)</f>
        <v>MID</v>
      </c>
      <c r="F27" s="8">
        <v>900000</v>
      </c>
      <c r="G27" s="1" t="s">
        <v>0</v>
      </c>
      <c r="H27" s="1">
        <v>1000000</v>
      </c>
      <c r="I27" s="1">
        <v>1000000</v>
      </c>
      <c r="J27" s="3">
        <v>1000000</v>
      </c>
      <c r="K27" s="3">
        <v>900000</v>
      </c>
      <c r="L27" s="3">
        <v>0</v>
      </c>
      <c r="M27" s="3">
        <v>0</v>
      </c>
      <c r="N27" s="3">
        <v>0</v>
      </c>
      <c r="O27" s="3">
        <v>108</v>
      </c>
      <c r="P27" s="3">
        <v>218</v>
      </c>
      <c r="Q27" s="3">
        <v>3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0.6</v>
      </c>
      <c r="X27" s="3">
        <v>922</v>
      </c>
      <c r="Y27" s="3">
        <v>0.1</v>
      </c>
      <c r="Z27" s="3">
        <v>0</v>
      </c>
      <c r="CX27" s="9"/>
      <c r="CY27" s="5"/>
      <c r="DA27"/>
      <c r="DC27"/>
      <c r="DD27" s="1"/>
      <c r="DF27" s="1"/>
      <c r="DH27" s="1"/>
      <c r="DJ27" s="1"/>
      <c r="DL27" s="1"/>
      <c r="DN27" s="1"/>
      <c r="DP27" s="1"/>
    </row>
    <row r="28" spans="1:120">
      <c r="A28">
        <v>15749</v>
      </c>
      <c r="B28" s="1" t="s">
        <v>82</v>
      </c>
      <c r="C28" s="1" t="s">
        <v>986</v>
      </c>
      <c r="D28" s="1" t="str">
        <f>VLOOKUP( 21,Squads!A:E,5,0)</f>
        <v>WHU</v>
      </c>
      <c r="E28" s="1" t="str">
        <f>VLOOKUP( 1,$CX$2:$CY$5,2,0)</f>
        <v>GK</v>
      </c>
      <c r="F28" s="8">
        <v>2700000</v>
      </c>
      <c r="G28" s="1" t="s">
        <v>0</v>
      </c>
      <c r="H28" s="1">
        <v>3000000</v>
      </c>
      <c r="I28" s="1">
        <v>3000000</v>
      </c>
      <c r="J28" s="3">
        <v>3000000</v>
      </c>
      <c r="K28" s="3">
        <v>2700000</v>
      </c>
      <c r="L28" s="3">
        <v>-3</v>
      </c>
      <c r="M28" s="3">
        <v>-2</v>
      </c>
      <c r="N28" s="3">
        <v>-2</v>
      </c>
      <c r="O28" s="3">
        <v>226</v>
      </c>
      <c r="P28" s="3">
        <v>373</v>
      </c>
      <c r="Q28" s="3">
        <v>3</v>
      </c>
      <c r="R28" s="3">
        <v>-7</v>
      </c>
      <c r="S28" s="3">
        <v>-2.2999999999999998</v>
      </c>
      <c r="T28" s="3">
        <v>-2</v>
      </c>
      <c r="U28" s="3">
        <v>-3</v>
      </c>
      <c r="V28" s="3">
        <v>-2.2999999999999998</v>
      </c>
      <c r="W28" s="3">
        <v>-0.5</v>
      </c>
      <c r="X28" s="3">
        <v>38171</v>
      </c>
      <c r="Y28" s="3">
        <v>3.3</v>
      </c>
      <c r="Z28" s="3">
        <v>0</v>
      </c>
      <c r="CX28" s="9"/>
      <c r="CY28" s="5"/>
      <c r="DA28"/>
      <c r="DC28"/>
      <c r="DD28" s="1"/>
      <c r="DF28" s="1"/>
      <c r="DH28" s="1"/>
      <c r="DJ28" s="1"/>
      <c r="DL28" s="1"/>
      <c r="DN28" s="1"/>
      <c r="DP28" s="1"/>
    </row>
    <row r="29" spans="1:120">
      <c r="A29">
        <v>15982</v>
      </c>
      <c r="B29" s="1" t="s">
        <v>368</v>
      </c>
      <c r="C29" s="1" t="s">
        <v>369</v>
      </c>
      <c r="D29" s="1" t="str">
        <f>VLOOKUP( 90,Squads!A:E,5,0)</f>
        <v>BUR</v>
      </c>
      <c r="E29" s="1" t="str">
        <f>VLOOKUP( 3,$CX$2:$CY$5,2,0)</f>
        <v>MID</v>
      </c>
      <c r="F29" s="8">
        <v>1000000</v>
      </c>
      <c r="G29" s="1" t="s">
        <v>1011</v>
      </c>
      <c r="H29" s="1">
        <v>1000000</v>
      </c>
      <c r="I29" s="1">
        <v>1000000</v>
      </c>
      <c r="J29" s="3">
        <v>1000000</v>
      </c>
      <c r="K29" s="3">
        <v>1000000</v>
      </c>
      <c r="O29" s="3">
        <v>0</v>
      </c>
      <c r="P29" s="3">
        <v>218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0.7</v>
      </c>
      <c r="W29" s="3">
        <v>0.4</v>
      </c>
      <c r="X29" s="3">
        <v>130</v>
      </c>
      <c r="Y29" s="3">
        <v>0</v>
      </c>
      <c r="Z29" s="3">
        <v>0</v>
      </c>
      <c r="CX29" s="9"/>
      <c r="CY29" s="5"/>
      <c r="DA29"/>
      <c r="DC29"/>
      <c r="DD29" s="1"/>
      <c r="DF29" s="1"/>
      <c r="DH29" s="1"/>
      <c r="DJ29" s="1"/>
      <c r="DL29" s="1"/>
      <c r="DN29" s="1"/>
      <c r="DP29" s="1"/>
    </row>
    <row r="30" spans="1:120">
      <c r="A30">
        <v>17339</v>
      </c>
      <c r="B30" s="1" t="s">
        <v>193</v>
      </c>
      <c r="C30" s="1" t="s">
        <v>392</v>
      </c>
      <c r="D30" s="1" t="str">
        <f>VLOOKUP( 20,Squads!A:E,5,0)</f>
        <v>SOU</v>
      </c>
      <c r="E30" s="1" t="str">
        <f>VLOOKUP( 3,$CX$2:$CY$5,2,0)</f>
        <v>MID</v>
      </c>
      <c r="F30" s="8">
        <v>1800000</v>
      </c>
      <c r="G30" s="1" t="s">
        <v>0</v>
      </c>
      <c r="H30" s="1">
        <v>1500000</v>
      </c>
      <c r="I30" s="1">
        <v>1500000</v>
      </c>
      <c r="J30" s="3">
        <v>1500000</v>
      </c>
      <c r="K30" s="3">
        <v>1800000</v>
      </c>
      <c r="L30" s="3">
        <v>3</v>
      </c>
      <c r="M30" s="3">
        <v>5</v>
      </c>
      <c r="N30" s="3">
        <v>3</v>
      </c>
      <c r="O30" s="3">
        <v>71</v>
      </c>
      <c r="P30" s="3">
        <v>78</v>
      </c>
      <c r="Q30" s="3">
        <v>3</v>
      </c>
      <c r="R30" s="3">
        <v>11</v>
      </c>
      <c r="S30" s="3">
        <v>3.7</v>
      </c>
      <c r="T30" s="3">
        <v>5</v>
      </c>
      <c r="U30" s="3">
        <v>3</v>
      </c>
      <c r="V30" s="3">
        <v>3.7</v>
      </c>
      <c r="W30" s="3">
        <v>3.2</v>
      </c>
      <c r="X30" s="3">
        <v>1426</v>
      </c>
      <c r="Y30" s="3">
        <v>0.1</v>
      </c>
      <c r="Z30" s="3">
        <v>0</v>
      </c>
      <c r="CX30" s="9"/>
      <c r="CY30" s="5"/>
      <c r="DA30"/>
      <c r="DC30"/>
      <c r="DD30" s="1"/>
      <c r="DF30" s="1"/>
      <c r="DH30" s="1"/>
      <c r="DJ30" s="1"/>
      <c r="DL30" s="1"/>
      <c r="DN30" s="1"/>
      <c r="DP30" s="1"/>
    </row>
    <row r="31" spans="1:120">
      <c r="A31">
        <v>17476</v>
      </c>
      <c r="B31" s="1" t="s">
        <v>127</v>
      </c>
      <c r="C31" s="1" t="s">
        <v>128</v>
      </c>
      <c r="D31" s="1" t="str">
        <f>VLOOKUP( 43,Squads!A:E,5,0)</f>
        <v>MCI</v>
      </c>
      <c r="E31" s="1" t="str">
        <f>VLOOKUP( 2,$CX$2:$CY$5,2,0)</f>
        <v>DEF</v>
      </c>
      <c r="F31" s="8">
        <v>3500000</v>
      </c>
      <c r="G31" s="1" t="s">
        <v>0</v>
      </c>
      <c r="H31" s="1">
        <v>3500000</v>
      </c>
      <c r="I31" s="1">
        <v>3500000</v>
      </c>
      <c r="J31" s="3">
        <v>3500000</v>
      </c>
      <c r="K31" s="3">
        <v>3500000</v>
      </c>
      <c r="L31" s="3">
        <v>8</v>
      </c>
      <c r="M31" s="3">
        <v>-1</v>
      </c>
      <c r="N31" s="3">
        <v>2</v>
      </c>
      <c r="O31" s="3">
        <v>98</v>
      </c>
      <c r="P31" s="3">
        <v>95</v>
      </c>
      <c r="Q31" s="3">
        <v>3</v>
      </c>
      <c r="R31" s="3">
        <v>9</v>
      </c>
      <c r="S31" s="3">
        <v>3</v>
      </c>
      <c r="T31" s="3">
        <v>8</v>
      </c>
      <c r="U31" s="3">
        <v>-1</v>
      </c>
      <c r="V31" s="3">
        <v>3</v>
      </c>
      <c r="W31" s="3">
        <v>1.4</v>
      </c>
      <c r="X31" s="3">
        <v>173474</v>
      </c>
      <c r="Y31" s="3">
        <v>15.2</v>
      </c>
      <c r="Z31" s="3">
        <v>0</v>
      </c>
      <c r="CX31" s="9"/>
      <c r="CY31" s="5"/>
      <c r="DA31"/>
      <c r="DC31"/>
      <c r="DD31" s="1"/>
      <c r="DF31" s="1"/>
      <c r="DH31" s="1"/>
      <c r="DJ31" s="1"/>
      <c r="DL31" s="1"/>
      <c r="DN31" s="1"/>
      <c r="DP31" s="1"/>
    </row>
    <row r="32" spans="1:120">
      <c r="A32">
        <v>17745</v>
      </c>
      <c r="B32" s="1" t="s">
        <v>115</v>
      </c>
      <c r="C32" s="1" t="s">
        <v>116</v>
      </c>
      <c r="D32" s="1" t="str">
        <f>VLOOKUP( 13,Squads!A:E,5,0)</f>
        <v>LEI</v>
      </c>
      <c r="E32" s="1" t="str">
        <f>VLOOKUP( 1,$CX$2:$CY$5,2,0)</f>
        <v>GK</v>
      </c>
      <c r="F32" s="8">
        <v>3300000</v>
      </c>
      <c r="G32" s="1" t="s">
        <v>0</v>
      </c>
      <c r="H32" s="1">
        <v>3000000</v>
      </c>
      <c r="I32" s="1">
        <v>3000000</v>
      </c>
      <c r="J32" s="3">
        <v>3000000</v>
      </c>
      <c r="K32" s="3">
        <v>3300000</v>
      </c>
      <c r="L32" s="3">
        <v>-3</v>
      </c>
      <c r="M32" s="3">
        <v>8</v>
      </c>
      <c r="N32" s="3">
        <v>9</v>
      </c>
      <c r="O32" s="3">
        <v>11</v>
      </c>
      <c r="P32" s="3">
        <v>57</v>
      </c>
      <c r="Q32" s="3">
        <v>3</v>
      </c>
      <c r="R32" s="3">
        <v>14</v>
      </c>
      <c r="S32" s="3">
        <v>4.7</v>
      </c>
      <c r="T32" s="3">
        <v>9</v>
      </c>
      <c r="U32" s="3">
        <v>-3</v>
      </c>
      <c r="V32" s="3">
        <v>4.7</v>
      </c>
      <c r="W32" s="3">
        <v>4.4000000000000004</v>
      </c>
      <c r="X32" s="3">
        <v>44074</v>
      </c>
      <c r="Y32" s="3">
        <v>3.9</v>
      </c>
      <c r="Z32" s="3">
        <v>0</v>
      </c>
      <c r="CX32" s="9"/>
      <c r="CY32" s="5"/>
      <c r="DA32"/>
      <c r="DC32"/>
      <c r="DD32" s="1"/>
      <c r="DF32" s="1"/>
      <c r="DH32" s="1"/>
      <c r="DJ32" s="1"/>
      <c r="DL32" s="1"/>
      <c r="DN32" s="1"/>
      <c r="DP32" s="1"/>
    </row>
    <row r="33" spans="1:120">
      <c r="A33">
        <v>17878</v>
      </c>
      <c r="B33" s="1" t="s">
        <v>88</v>
      </c>
      <c r="C33" s="1" t="s">
        <v>89</v>
      </c>
      <c r="D33" s="1" t="str">
        <f>VLOOKUP( 8,Squads!A:E,5,0)</f>
        <v>CHE</v>
      </c>
      <c r="E33" s="1" t="str">
        <f>VLOOKUP( 3,$CX$2:$CY$5,2,0)</f>
        <v>MID</v>
      </c>
      <c r="F33" s="8">
        <v>4200000</v>
      </c>
      <c r="G33" s="1" t="s">
        <v>0</v>
      </c>
      <c r="H33" s="1">
        <v>4000000</v>
      </c>
      <c r="I33" s="1">
        <v>4000000</v>
      </c>
      <c r="J33" s="3">
        <v>4000000</v>
      </c>
      <c r="K33" s="3">
        <v>4200000</v>
      </c>
      <c r="L33" s="3">
        <v>-3</v>
      </c>
      <c r="N33" s="3">
        <v>13</v>
      </c>
      <c r="O33" s="3">
        <v>2</v>
      </c>
      <c r="P33" s="3">
        <v>87</v>
      </c>
      <c r="Q33" s="3">
        <v>2</v>
      </c>
      <c r="R33" s="3">
        <v>10</v>
      </c>
      <c r="S33" s="3">
        <v>5</v>
      </c>
      <c r="T33" s="3">
        <v>13</v>
      </c>
      <c r="U33" s="3">
        <v>-3</v>
      </c>
      <c r="V33" s="3">
        <v>7.7</v>
      </c>
      <c r="W33" s="3">
        <v>4.5999999999999996</v>
      </c>
      <c r="X33" s="3">
        <v>19063</v>
      </c>
      <c r="Y33" s="3">
        <v>1.7</v>
      </c>
      <c r="Z33" s="3">
        <v>0</v>
      </c>
      <c r="CX33" s="9"/>
      <c r="CY33" s="5"/>
      <c r="DA33"/>
      <c r="DC33"/>
      <c r="DD33" s="1"/>
      <c r="DF33" s="1"/>
      <c r="DH33" s="1"/>
      <c r="DJ33" s="1"/>
      <c r="DL33" s="1"/>
      <c r="DN33" s="1"/>
      <c r="DP33" s="1"/>
    </row>
    <row r="34" spans="1:120">
      <c r="A34">
        <v>17997</v>
      </c>
      <c r="B34" s="1" t="s">
        <v>233</v>
      </c>
      <c r="C34" s="1" t="s">
        <v>234</v>
      </c>
      <c r="D34" s="1" t="str">
        <f>VLOOKUP( 90,Squads!A:E,5,0)</f>
        <v>BUR</v>
      </c>
      <c r="E34" s="1" t="str">
        <f>VLOOKUP( 2,$CX$2:$CY$5,2,0)</f>
        <v>DEF</v>
      </c>
      <c r="F34" s="8">
        <v>2000000</v>
      </c>
      <c r="G34" s="1" t="s">
        <v>0</v>
      </c>
      <c r="H34" s="1">
        <v>2000000</v>
      </c>
      <c r="I34" s="1">
        <v>2000000</v>
      </c>
      <c r="J34" s="3">
        <v>2000000</v>
      </c>
      <c r="K34" s="3">
        <v>2000000</v>
      </c>
      <c r="M34" s="3">
        <v>4</v>
      </c>
      <c r="O34" s="3">
        <v>0</v>
      </c>
      <c r="P34" s="3">
        <v>170</v>
      </c>
      <c r="Q34" s="3">
        <v>1</v>
      </c>
      <c r="R34" s="3">
        <v>4</v>
      </c>
      <c r="S34" s="3">
        <v>4</v>
      </c>
      <c r="T34" s="3">
        <v>4</v>
      </c>
      <c r="U34" s="3">
        <v>4</v>
      </c>
      <c r="V34" s="3">
        <v>7.3</v>
      </c>
      <c r="W34" s="3">
        <v>5.8</v>
      </c>
      <c r="X34" s="3">
        <v>1963</v>
      </c>
      <c r="Y34" s="3">
        <v>0.2</v>
      </c>
      <c r="Z34" s="3">
        <v>0</v>
      </c>
      <c r="CX34" s="9"/>
      <c r="CY34" s="5"/>
      <c r="DA34"/>
      <c r="DC34"/>
      <c r="DD34" s="1"/>
      <c r="DF34" s="1"/>
      <c r="DH34" s="1"/>
      <c r="DJ34" s="1"/>
      <c r="DL34" s="1"/>
      <c r="DN34" s="1"/>
      <c r="DP34" s="1"/>
    </row>
    <row r="35" spans="1:120">
      <c r="A35">
        <v>18008</v>
      </c>
      <c r="B35" s="1" t="s">
        <v>149</v>
      </c>
      <c r="C35" s="1" t="s">
        <v>381</v>
      </c>
      <c r="D35" s="1" t="str">
        <f>VLOOKUP( 35,Squads!A:E,5,0)</f>
        <v>WBA</v>
      </c>
      <c r="E35" s="1" t="str">
        <f>VLOOKUP( 3,$CX$2:$CY$5,2,0)</f>
        <v>MID</v>
      </c>
      <c r="F35" s="8">
        <v>1900000</v>
      </c>
      <c r="G35" s="1" t="s">
        <v>0</v>
      </c>
      <c r="H35" s="1">
        <v>2000000</v>
      </c>
      <c r="I35" s="1">
        <v>2000000</v>
      </c>
      <c r="J35" s="3">
        <v>2000000</v>
      </c>
      <c r="K35" s="3">
        <v>1900000</v>
      </c>
      <c r="M35" s="3">
        <v>0</v>
      </c>
      <c r="N35" s="3">
        <v>0</v>
      </c>
      <c r="O35" s="3">
        <v>108</v>
      </c>
      <c r="P35" s="3">
        <v>218</v>
      </c>
      <c r="Q35" s="3">
        <v>2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155</v>
      </c>
      <c r="Y35" s="3">
        <v>0</v>
      </c>
      <c r="Z35" s="3">
        <v>0</v>
      </c>
      <c r="CX35" s="9"/>
      <c r="CY35" s="5"/>
      <c r="DA35"/>
      <c r="DC35"/>
      <c r="DD35" s="1"/>
      <c r="DF35" s="1"/>
      <c r="DH35" s="1"/>
      <c r="DJ35" s="1"/>
      <c r="DL35" s="1"/>
      <c r="DN35" s="1"/>
      <c r="DP35" s="1"/>
    </row>
    <row r="36" spans="1:120">
      <c r="A36">
        <v>18073</v>
      </c>
      <c r="B36" s="1" t="s">
        <v>117</v>
      </c>
      <c r="C36" s="1" t="s">
        <v>118</v>
      </c>
      <c r="D36" s="1" t="str">
        <f>VLOOKUP( 21,Squads!A:E,5,0)</f>
        <v>WHU</v>
      </c>
      <c r="E36" s="1" t="str">
        <f>VLOOKUP( 3,$CX$2:$CY$5,2,0)</f>
        <v>MID</v>
      </c>
      <c r="F36" s="8">
        <v>1500000</v>
      </c>
      <c r="G36" s="1" t="s">
        <v>0</v>
      </c>
      <c r="H36" s="1">
        <v>1500000</v>
      </c>
      <c r="I36" s="1">
        <v>1500000</v>
      </c>
      <c r="J36" s="3">
        <v>1500000</v>
      </c>
      <c r="K36" s="3">
        <v>1500000</v>
      </c>
      <c r="L36" s="3">
        <v>0</v>
      </c>
      <c r="M36" s="3">
        <v>5</v>
      </c>
      <c r="N36" s="3">
        <v>0</v>
      </c>
      <c r="O36" s="3">
        <v>108</v>
      </c>
      <c r="P36" s="3">
        <v>155</v>
      </c>
      <c r="Q36" s="3">
        <v>4</v>
      </c>
      <c r="R36" s="3">
        <v>5</v>
      </c>
      <c r="S36" s="3">
        <v>1.3</v>
      </c>
      <c r="T36" s="3">
        <v>5</v>
      </c>
      <c r="U36" s="3">
        <v>0</v>
      </c>
      <c r="V36" s="3">
        <v>1.7</v>
      </c>
      <c r="W36" s="3">
        <v>1</v>
      </c>
      <c r="X36" s="3">
        <v>1947</v>
      </c>
      <c r="Y36" s="3">
        <v>0.2</v>
      </c>
      <c r="Z36" s="3">
        <v>0</v>
      </c>
      <c r="CX36" s="9"/>
      <c r="CY36" s="5"/>
      <c r="DA36"/>
      <c r="DC36"/>
      <c r="DD36" s="1"/>
      <c r="DF36" s="1"/>
      <c r="DH36" s="1"/>
      <c r="DJ36" s="1"/>
      <c r="DL36" s="1"/>
      <c r="DN36" s="1"/>
      <c r="DP36" s="1"/>
    </row>
    <row r="37" spans="1:120">
      <c r="A37">
        <v>18507</v>
      </c>
      <c r="B37" s="1" t="s">
        <v>101</v>
      </c>
      <c r="C37" s="1" t="s">
        <v>394</v>
      </c>
      <c r="D37" s="1" t="str">
        <f>VLOOKUP( 8,Squads!A:E,5,0)</f>
        <v>CHE</v>
      </c>
      <c r="E37" s="1" t="str">
        <f>VLOOKUP( 4,$CX$2:$CY$5,2,0)</f>
        <v>STR</v>
      </c>
      <c r="F37" s="8">
        <v>6000000</v>
      </c>
      <c r="G37" s="1" t="s">
        <v>0</v>
      </c>
      <c r="H37" s="1">
        <v>6000000</v>
      </c>
      <c r="I37" s="1">
        <v>6000000</v>
      </c>
      <c r="J37" s="3">
        <v>6000000</v>
      </c>
      <c r="K37" s="3">
        <v>6000000</v>
      </c>
      <c r="O37" s="3">
        <v>0</v>
      </c>
      <c r="P37" s="3">
        <v>218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3</v>
      </c>
      <c r="W37" s="3">
        <v>1.4</v>
      </c>
      <c r="X37" s="3">
        <v>9144</v>
      </c>
      <c r="Y37" s="3">
        <v>0.8</v>
      </c>
      <c r="Z37" s="3">
        <v>0</v>
      </c>
      <c r="CX37" s="9"/>
      <c r="CY37" s="5"/>
      <c r="DA37"/>
      <c r="DC37"/>
      <c r="DD37" s="1"/>
      <c r="DF37" s="1"/>
      <c r="DH37" s="1"/>
      <c r="DJ37" s="1"/>
      <c r="DL37" s="1"/>
      <c r="DN37" s="1"/>
      <c r="DP37" s="1"/>
    </row>
    <row r="38" spans="1:120">
      <c r="A38">
        <v>18656</v>
      </c>
      <c r="B38" s="1" t="s">
        <v>209</v>
      </c>
      <c r="C38" s="1" t="s">
        <v>210</v>
      </c>
      <c r="D38" s="1" t="str">
        <f>VLOOKUP( 57,Squads!A:E,5,0)</f>
        <v>WAT</v>
      </c>
      <c r="E38" s="1" t="str">
        <f>VLOOKUP( 1,$CX$2:$CY$5,2,0)</f>
        <v>GK</v>
      </c>
      <c r="F38" s="8">
        <v>2700000</v>
      </c>
      <c r="G38" s="1" t="s">
        <v>0</v>
      </c>
      <c r="H38" s="1">
        <v>2500000</v>
      </c>
      <c r="I38" s="1">
        <v>2500000</v>
      </c>
      <c r="J38" s="3">
        <v>2500000</v>
      </c>
      <c r="K38" s="3">
        <v>2700000</v>
      </c>
      <c r="L38" s="3">
        <v>-2</v>
      </c>
      <c r="M38" s="3">
        <v>6</v>
      </c>
      <c r="N38" s="3">
        <v>8</v>
      </c>
      <c r="O38" s="3">
        <v>13</v>
      </c>
      <c r="P38" s="3">
        <v>71</v>
      </c>
      <c r="Q38" s="3">
        <v>4</v>
      </c>
      <c r="R38" s="3">
        <v>12</v>
      </c>
      <c r="S38" s="3">
        <v>3</v>
      </c>
      <c r="T38" s="3">
        <v>8</v>
      </c>
      <c r="U38" s="3">
        <v>-2</v>
      </c>
      <c r="V38" s="3">
        <v>4.7</v>
      </c>
      <c r="W38" s="3">
        <v>1.4</v>
      </c>
      <c r="X38" s="3">
        <v>1513</v>
      </c>
      <c r="Y38" s="3">
        <v>0.1</v>
      </c>
      <c r="Z38" s="3">
        <v>0</v>
      </c>
      <c r="CX38" s="9"/>
      <c r="CY38" s="5"/>
      <c r="DA38"/>
      <c r="DC38"/>
      <c r="DD38" s="1"/>
      <c r="DF38" s="1"/>
      <c r="DH38" s="1"/>
      <c r="DJ38" s="1"/>
      <c r="DL38" s="1"/>
      <c r="DN38" s="1"/>
      <c r="DP38" s="1"/>
    </row>
    <row r="39" spans="1:120">
      <c r="A39">
        <v>18892</v>
      </c>
      <c r="B39" s="1" t="s">
        <v>102</v>
      </c>
      <c r="C39" s="1" t="s">
        <v>395</v>
      </c>
      <c r="D39" s="1" t="str">
        <f>VLOOKUP( 1,Squads!A:E,5,0)</f>
        <v>MUN</v>
      </c>
      <c r="E39" s="1" t="str">
        <f>VLOOKUP( 3,$CX$2:$CY$5,2,0)</f>
        <v>MID</v>
      </c>
      <c r="F39" s="8">
        <v>2000000</v>
      </c>
      <c r="G39" s="1" t="s">
        <v>0</v>
      </c>
      <c r="H39" s="1">
        <v>2000000</v>
      </c>
      <c r="I39" s="1">
        <v>2000000</v>
      </c>
      <c r="J39" s="3">
        <v>2000000</v>
      </c>
      <c r="K39" s="3">
        <v>2000000</v>
      </c>
      <c r="O39" s="3">
        <v>0</v>
      </c>
      <c r="P39" s="3">
        <v>218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1</v>
      </c>
      <c r="W39" s="3">
        <v>1</v>
      </c>
      <c r="X39" s="3">
        <v>445</v>
      </c>
      <c r="Y39" s="3">
        <v>0</v>
      </c>
      <c r="Z39" s="3">
        <v>0</v>
      </c>
      <c r="CX39" s="9"/>
      <c r="CY39" s="5"/>
      <c r="DA39"/>
      <c r="DC39"/>
      <c r="DD39" s="1"/>
      <c r="DF39" s="1"/>
      <c r="DH39" s="1"/>
      <c r="DJ39" s="1"/>
      <c r="DL39" s="1"/>
      <c r="DN39" s="1"/>
      <c r="DP39" s="1"/>
    </row>
    <row r="40" spans="1:120">
      <c r="A40">
        <v>18987</v>
      </c>
      <c r="B40" s="1" t="s">
        <v>167</v>
      </c>
      <c r="C40" s="1" t="s">
        <v>243</v>
      </c>
      <c r="D40" s="1" t="str">
        <f>VLOOKUP( 21,Squads!A:E,5,0)</f>
        <v>WHU</v>
      </c>
      <c r="E40" s="1" t="str">
        <f>VLOOKUP( 3,$CX$2:$CY$5,2,0)</f>
        <v>MID</v>
      </c>
      <c r="F40" s="8">
        <v>2500000</v>
      </c>
      <c r="G40" s="1" t="s">
        <v>978</v>
      </c>
      <c r="H40" s="1">
        <v>2500000</v>
      </c>
      <c r="I40" s="1">
        <v>2500000</v>
      </c>
      <c r="J40" s="3">
        <v>2500000</v>
      </c>
      <c r="K40" s="3">
        <v>2500000</v>
      </c>
      <c r="O40" s="3">
        <v>0</v>
      </c>
      <c r="P40" s="3">
        <v>218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6.7</v>
      </c>
      <c r="W40" s="3">
        <v>4.5999999999999996</v>
      </c>
      <c r="X40" s="3">
        <v>11162</v>
      </c>
      <c r="Y40" s="3">
        <v>1</v>
      </c>
      <c r="Z40" s="3">
        <v>0</v>
      </c>
      <c r="CP40" s="7"/>
      <c r="CR40" s="6"/>
      <c r="CX40" s="9"/>
      <c r="CY40" s="5"/>
      <c r="DA40"/>
      <c r="DC40"/>
      <c r="DD40" s="1"/>
      <c r="DF40" s="1"/>
      <c r="DH40" s="1"/>
      <c r="DJ40" s="1"/>
      <c r="DL40" s="1"/>
      <c r="DN40" s="1"/>
      <c r="DP40" s="1"/>
    </row>
    <row r="41" spans="1:120">
      <c r="A41">
        <v>19151</v>
      </c>
      <c r="B41" s="1" t="s">
        <v>34</v>
      </c>
      <c r="C41" s="1" t="s">
        <v>357</v>
      </c>
      <c r="D41" s="1" t="str">
        <f>VLOOKUP( 35,Squads!A:E,5,0)</f>
        <v>WBA</v>
      </c>
      <c r="E41" s="1" t="str">
        <f>VLOOKUP( 3,$CX$2:$CY$5,2,0)</f>
        <v>MID</v>
      </c>
      <c r="F41" s="8">
        <v>2100000</v>
      </c>
      <c r="G41" s="1" t="s">
        <v>0</v>
      </c>
      <c r="H41" s="1">
        <v>2000000</v>
      </c>
      <c r="I41" s="1">
        <v>2000000</v>
      </c>
      <c r="J41" s="3">
        <v>2000000</v>
      </c>
      <c r="K41" s="3">
        <v>2100000</v>
      </c>
      <c r="L41" s="3">
        <v>5</v>
      </c>
      <c r="M41" s="3">
        <v>0</v>
      </c>
      <c r="N41" s="3">
        <v>3</v>
      </c>
      <c r="O41" s="3">
        <v>71</v>
      </c>
      <c r="P41" s="3">
        <v>103</v>
      </c>
      <c r="Q41" s="3">
        <v>3</v>
      </c>
      <c r="R41" s="3">
        <v>8</v>
      </c>
      <c r="S41" s="3">
        <v>2.7</v>
      </c>
      <c r="T41" s="3">
        <v>5</v>
      </c>
      <c r="U41" s="3">
        <v>0</v>
      </c>
      <c r="V41" s="3">
        <v>2.7</v>
      </c>
      <c r="W41" s="3">
        <v>1.6</v>
      </c>
      <c r="X41" s="3">
        <v>1682</v>
      </c>
      <c r="Y41" s="3">
        <v>0.1</v>
      </c>
      <c r="Z41" s="3">
        <v>0</v>
      </c>
      <c r="CP41" s="7"/>
      <c r="CR41" s="6"/>
      <c r="CX41" s="9"/>
      <c r="CY41" s="5"/>
      <c r="DA41"/>
      <c r="DC41"/>
      <c r="DD41" s="1"/>
      <c r="DF41" s="1"/>
      <c r="DH41" s="1"/>
      <c r="DJ41" s="1"/>
      <c r="DL41" s="1"/>
      <c r="DN41" s="1"/>
      <c r="DP41" s="1"/>
    </row>
    <row r="42" spans="1:120">
      <c r="A42">
        <v>19159</v>
      </c>
      <c r="B42" s="1" t="s">
        <v>102</v>
      </c>
      <c r="C42" s="1" t="s">
        <v>103</v>
      </c>
      <c r="D42" s="1" t="str">
        <f>VLOOKUP( 11,Squads!A:E,5,0)</f>
        <v>EVE</v>
      </c>
      <c r="E42" s="1" t="str">
        <f>VLOOKUP( 2,$CX$2:$CY$5,2,0)</f>
        <v>DEF</v>
      </c>
      <c r="F42" s="8">
        <v>3400000</v>
      </c>
      <c r="G42" s="1" t="s">
        <v>0</v>
      </c>
      <c r="H42" s="1">
        <v>3500000</v>
      </c>
      <c r="I42" s="1">
        <v>3500000</v>
      </c>
      <c r="J42" s="3">
        <v>3500000</v>
      </c>
      <c r="K42" s="3">
        <v>3400000</v>
      </c>
      <c r="L42" s="3">
        <v>16</v>
      </c>
      <c r="M42" s="3">
        <v>3</v>
      </c>
      <c r="N42" s="3">
        <v>-1</v>
      </c>
      <c r="O42" s="3">
        <v>199</v>
      </c>
      <c r="P42" s="3">
        <v>33</v>
      </c>
      <c r="Q42" s="3">
        <v>5</v>
      </c>
      <c r="R42" s="3">
        <v>18</v>
      </c>
      <c r="S42" s="3">
        <v>3.6</v>
      </c>
      <c r="T42" s="3">
        <v>8</v>
      </c>
      <c r="U42" s="3">
        <v>-1</v>
      </c>
      <c r="V42" s="3">
        <v>0.7</v>
      </c>
      <c r="W42" s="3">
        <v>3.6</v>
      </c>
      <c r="X42" s="3">
        <v>114853</v>
      </c>
      <c r="Y42" s="3">
        <v>10.1</v>
      </c>
      <c r="Z42" s="3">
        <v>0</v>
      </c>
      <c r="CP42" s="7"/>
      <c r="CR42" s="6"/>
      <c r="CX42" s="9"/>
      <c r="CY42" s="5"/>
      <c r="DA42"/>
      <c r="DC42"/>
      <c r="DD42" s="1"/>
      <c r="DF42" s="1"/>
      <c r="DH42" s="1"/>
      <c r="DJ42" s="1"/>
      <c r="DL42" s="1"/>
      <c r="DN42" s="1"/>
      <c r="DP42" s="1"/>
    </row>
    <row r="43" spans="1:120">
      <c r="A43">
        <v>19188</v>
      </c>
      <c r="B43" s="1" t="s">
        <v>142</v>
      </c>
      <c r="C43" s="1" t="s">
        <v>143</v>
      </c>
      <c r="D43" s="1" t="str">
        <f>VLOOKUP( 31,Squads!A:E,5,0)</f>
        <v>CRY</v>
      </c>
      <c r="E43" s="1" t="str">
        <f>VLOOKUP( 2,$CX$2:$CY$5,2,0)</f>
        <v>DEF</v>
      </c>
      <c r="F43" s="8">
        <v>2800000</v>
      </c>
      <c r="G43" s="1" t="s">
        <v>0</v>
      </c>
      <c r="H43" s="1">
        <v>3000000</v>
      </c>
      <c r="I43" s="1">
        <v>3000000</v>
      </c>
      <c r="J43" s="3">
        <v>3000000</v>
      </c>
      <c r="K43" s="3">
        <v>2800000</v>
      </c>
      <c r="L43" s="3">
        <v>-2</v>
      </c>
      <c r="M43" s="3">
        <v>0</v>
      </c>
      <c r="N43" s="3">
        <v>2</v>
      </c>
      <c r="O43" s="3">
        <v>98</v>
      </c>
      <c r="P43" s="3">
        <v>218</v>
      </c>
      <c r="Q43" s="3">
        <v>4</v>
      </c>
      <c r="R43" s="3">
        <v>0</v>
      </c>
      <c r="S43" s="3">
        <v>0</v>
      </c>
      <c r="T43" s="3">
        <v>2</v>
      </c>
      <c r="U43" s="3">
        <v>-2</v>
      </c>
      <c r="V43" s="3">
        <v>0.7</v>
      </c>
      <c r="W43" s="3">
        <v>-0.2</v>
      </c>
      <c r="X43" s="3">
        <v>5652</v>
      </c>
      <c r="Y43" s="3">
        <v>0.5</v>
      </c>
      <c r="Z43" s="3">
        <v>0</v>
      </c>
      <c r="CX43" s="9"/>
      <c r="CY43" s="5"/>
      <c r="DA43"/>
      <c r="DC43"/>
      <c r="DD43" s="1"/>
      <c r="DF43" s="1"/>
      <c r="DH43" s="1"/>
      <c r="DJ43" s="1"/>
      <c r="DL43" s="1"/>
      <c r="DN43" s="1"/>
      <c r="DP43" s="1"/>
    </row>
    <row r="44" spans="1:120">
      <c r="A44">
        <v>19197</v>
      </c>
      <c r="B44" s="1" t="s">
        <v>198</v>
      </c>
      <c r="C44" s="1" t="s">
        <v>199</v>
      </c>
      <c r="D44" s="1" t="str">
        <f>VLOOKUP( 31,Squads!A:E,5,0)</f>
        <v>CRY</v>
      </c>
      <c r="E44" s="1" t="str">
        <f>VLOOKUP( 3,$CX$2:$CY$5,2,0)</f>
        <v>MID</v>
      </c>
      <c r="F44" s="8">
        <v>1700000</v>
      </c>
      <c r="G44" s="1" t="s">
        <v>0</v>
      </c>
      <c r="H44" s="1">
        <v>2000000</v>
      </c>
      <c r="I44" s="1">
        <v>2000000</v>
      </c>
      <c r="J44" s="3">
        <v>2000000</v>
      </c>
      <c r="K44" s="3">
        <v>1700000</v>
      </c>
      <c r="L44" s="3">
        <v>-1</v>
      </c>
      <c r="M44" s="3">
        <v>-1</v>
      </c>
      <c r="N44" s="3">
        <v>-1</v>
      </c>
      <c r="O44" s="3">
        <v>199</v>
      </c>
      <c r="P44" s="3">
        <v>364</v>
      </c>
      <c r="Q44" s="3">
        <v>4</v>
      </c>
      <c r="R44" s="3">
        <v>-3</v>
      </c>
      <c r="S44" s="3">
        <v>-0.8</v>
      </c>
      <c r="T44" s="3">
        <v>0</v>
      </c>
      <c r="U44" s="3">
        <v>-1</v>
      </c>
      <c r="V44" s="3">
        <v>-0.7</v>
      </c>
      <c r="W44" s="3">
        <v>-0.6</v>
      </c>
      <c r="X44" s="3">
        <v>1292</v>
      </c>
      <c r="Y44" s="3">
        <v>0.1</v>
      </c>
      <c r="Z44" s="3">
        <v>0</v>
      </c>
      <c r="CX44" s="9"/>
      <c r="CY44" s="5"/>
      <c r="DA44"/>
      <c r="DC44"/>
      <c r="DD44" s="1"/>
      <c r="DF44" s="1"/>
      <c r="DH44" s="1"/>
      <c r="DJ44" s="1"/>
      <c r="DL44" s="1"/>
      <c r="DN44" s="1"/>
      <c r="DP44" s="1"/>
    </row>
    <row r="45" spans="1:120">
      <c r="A45">
        <v>19272</v>
      </c>
      <c r="B45" s="1" t="s">
        <v>226</v>
      </c>
      <c r="C45" s="1" t="s">
        <v>232</v>
      </c>
      <c r="D45" s="1" t="str">
        <f>VLOOKUP( 35,Squads!A:E,5,0)</f>
        <v>WBA</v>
      </c>
      <c r="E45" s="1" t="str">
        <f>VLOOKUP( 2,$CX$2:$CY$5,2,0)</f>
        <v>DEF</v>
      </c>
      <c r="F45" s="8">
        <v>3000000</v>
      </c>
      <c r="G45" s="1" t="s">
        <v>1011</v>
      </c>
      <c r="H45" s="1">
        <v>3000000</v>
      </c>
      <c r="I45" s="1">
        <v>3000000</v>
      </c>
      <c r="J45" s="3">
        <v>3000000</v>
      </c>
      <c r="K45" s="3">
        <v>3000000</v>
      </c>
      <c r="O45" s="3">
        <v>0</v>
      </c>
      <c r="P45" s="3">
        <v>218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5.7</v>
      </c>
      <c r="W45" s="3">
        <v>5.6</v>
      </c>
      <c r="X45" s="3">
        <v>14131</v>
      </c>
      <c r="Y45" s="3">
        <v>1.2</v>
      </c>
      <c r="Z45" s="3">
        <v>0</v>
      </c>
      <c r="CX45" s="9"/>
      <c r="CY45" s="5"/>
      <c r="DA45"/>
      <c r="DC45"/>
      <c r="DD45" s="1"/>
      <c r="DF45" s="1"/>
      <c r="DH45" s="1"/>
      <c r="DJ45" s="1"/>
      <c r="DL45" s="1"/>
      <c r="DN45" s="1"/>
      <c r="DP45" s="1"/>
    </row>
    <row r="46" spans="1:120">
      <c r="A46">
        <v>19419</v>
      </c>
      <c r="B46" s="1" t="s">
        <v>119</v>
      </c>
      <c r="C46" s="1" t="s">
        <v>120</v>
      </c>
      <c r="D46" s="1" t="str">
        <f>VLOOKUP( 8,Squads!A:E,5,0)</f>
        <v>CHE</v>
      </c>
      <c r="E46" s="1" t="str">
        <f>VLOOKUP( 2,$CX$2:$CY$5,2,0)</f>
        <v>DEF</v>
      </c>
      <c r="F46" s="8">
        <v>5500000</v>
      </c>
      <c r="G46" s="1" t="s">
        <v>978</v>
      </c>
      <c r="H46" s="1">
        <v>5500000</v>
      </c>
      <c r="I46" s="1">
        <v>5500000</v>
      </c>
      <c r="J46" s="3">
        <v>5500000</v>
      </c>
      <c r="K46" s="3">
        <v>5500000</v>
      </c>
      <c r="L46" s="3">
        <v>-5</v>
      </c>
      <c r="O46" s="3">
        <v>0</v>
      </c>
      <c r="P46" s="3">
        <v>371</v>
      </c>
      <c r="Q46" s="3">
        <v>1</v>
      </c>
      <c r="R46" s="3">
        <v>-5</v>
      </c>
      <c r="S46" s="3">
        <v>-5</v>
      </c>
      <c r="T46" s="3">
        <v>-5</v>
      </c>
      <c r="U46" s="3">
        <v>-5</v>
      </c>
      <c r="V46" s="3">
        <v>2</v>
      </c>
      <c r="W46" s="3">
        <v>1.6</v>
      </c>
      <c r="X46" s="3">
        <v>64281</v>
      </c>
      <c r="Y46" s="3">
        <v>5.6</v>
      </c>
      <c r="Z46" s="3">
        <v>0</v>
      </c>
      <c r="CX46" s="9"/>
      <c r="CY46" s="5"/>
      <c r="DA46"/>
      <c r="DC46"/>
      <c r="DD46" s="1"/>
      <c r="DF46" s="1"/>
      <c r="DH46" s="1"/>
      <c r="DJ46" s="1"/>
      <c r="DL46" s="1"/>
      <c r="DN46" s="1"/>
      <c r="DP46" s="1"/>
    </row>
    <row r="47" spans="1:120">
      <c r="A47">
        <v>19524</v>
      </c>
      <c r="B47" s="1" t="s">
        <v>396</v>
      </c>
      <c r="C47" s="1" t="s">
        <v>159</v>
      </c>
      <c r="D47" s="1" t="str">
        <f>VLOOKUP( 3,Squads!A:E,5,0)</f>
        <v>ARS</v>
      </c>
      <c r="E47" s="1" t="str">
        <f>VLOOKUP( 3,$CX$2:$CY$5,2,0)</f>
        <v>MID</v>
      </c>
      <c r="F47" s="8">
        <v>4000000</v>
      </c>
      <c r="G47" s="1" t="s">
        <v>1011</v>
      </c>
      <c r="H47" s="1">
        <v>4000000</v>
      </c>
      <c r="I47" s="1">
        <v>4000000</v>
      </c>
      <c r="J47" s="3">
        <v>4000000</v>
      </c>
      <c r="K47" s="3">
        <v>4000000</v>
      </c>
      <c r="O47" s="3">
        <v>0</v>
      </c>
      <c r="P47" s="3">
        <v>218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2.2999999999999998</v>
      </c>
      <c r="W47" s="3">
        <v>1.4</v>
      </c>
      <c r="X47" s="3">
        <v>1317</v>
      </c>
      <c r="Y47" s="3">
        <v>0.1</v>
      </c>
      <c r="Z47" s="3">
        <v>0</v>
      </c>
      <c r="CX47" s="9"/>
      <c r="CY47" s="5"/>
      <c r="DA47"/>
      <c r="DC47"/>
      <c r="DD47" s="1"/>
      <c r="DF47" s="1"/>
      <c r="DH47" s="1"/>
      <c r="DJ47" s="1"/>
      <c r="DL47" s="1"/>
      <c r="DN47" s="1"/>
      <c r="DP47" s="1"/>
    </row>
    <row r="48" spans="1:120">
      <c r="A48">
        <v>19760</v>
      </c>
      <c r="B48" s="1" t="s">
        <v>189</v>
      </c>
      <c r="C48" s="1" t="s">
        <v>397</v>
      </c>
      <c r="D48" s="1" t="str">
        <f>VLOOKUP( 80,Squads!A:E,5,0)</f>
        <v>SWA</v>
      </c>
      <c r="E48" s="1" t="str">
        <f>VLOOKUP( 4,$CX$2:$CY$5,2,0)</f>
        <v>STR</v>
      </c>
      <c r="F48" s="8">
        <v>4000000</v>
      </c>
      <c r="G48" s="1" t="s">
        <v>1011</v>
      </c>
      <c r="H48" s="1">
        <v>4000000</v>
      </c>
      <c r="I48" s="1">
        <v>4000000</v>
      </c>
      <c r="J48" s="3">
        <v>4000000</v>
      </c>
      <c r="K48" s="3">
        <v>4000000</v>
      </c>
      <c r="O48" s="3">
        <v>0</v>
      </c>
      <c r="P48" s="3">
        <v>218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6</v>
      </c>
      <c r="W48" s="3">
        <v>5.2</v>
      </c>
      <c r="X48" s="3">
        <v>2110</v>
      </c>
      <c r="Y48" s="3">
        <v>0.2</v>
      </c>
      <c r="Z48" s="3">
        <v>0</v>
      </c>
      <c r="CX48" s="9"/>
      <c r="CY48" s="5"/>
      <c r="DA48"/>
      <c r="DC48"/>
      <c r="DD48" s="1"/>
      <c r="DF48" s="1"/>
      <c r="DH48" s="1"/>
      <c r="DJ48" s="1"/>
      <c r="DL48" s="1"/>
      <c r="DN48" s="1"/>
      <c r="DP48" s="1"/>
    </row>
    <row r="49" spans="1:120">
      <c r="A49">
        <v>19838</v>
      </c>
      <c r="B49" s="1" t="s">
        <v>441</v>
      </c>
      <c r="C49" s="1" t="s">
        <v>1324</v>
      </c>
      <c r="D49" s="1" t="str">
        <f>VLOOKUP( 4,Squads!A:E,5,0)</f>
        <v>NEW</v>
      </c>
      <c r="E49" s="1" t="str">
        <f>VLOOKUP( 1,$CX$2:$CY$5,2,0)</f>
        <v>GK</v>
      </c>
      <c r="F49" s="8">
        <v>2200000</v>
      </c>
      <c r="G49" s="1" t="s">
        <v>0</v>
      </c>
      <c r="H49" s="1">
        <v>2000000</v>
      </c>
      <c r="I49" s="1">
        <v>2000000</v>
      </c>
      <c r="J49" s="3">
        <v>2000000</v>
      </c>
      <c r="K49" s="3">
        <v>2200000</v>
      </c>
      <c r="L49" s="3">
        <v>-1</v>
      </c>
      <c r="M49" s="3">
        <v>0</v>
      </c>
      <c r="N49" s="3">
        <v>8</v>
      </c>
      <c r="O49" s="3">
        <v>13</v>
      </c>
      <c r="P49" s="3">
        <v>124</v>
      </c>
      <c r="Q49" s="3">
        <v>3</v>
      </c>
      <c r="R49" s="3">
        <v>7</v>
      </c>
      <c r="S49" s="3">
        <v>2.2999999999999998</v>
      </c>
      <c r="T49" s="3">
        <v>8</v>
      </c>
      <c r="U49" s="3">
        <v>-1</v>
      </c>
      <c r="V49" s="3">
        <v>2.2999999999999998</v>
      </c>
      <c r="W49" s="3">
        <v>2.2999999999999998</v>
      </c>
      <c r="X49" s="3">
        <v>30</v>
      </c>
      <c r="Y49" s="3">
        <v>0</v>
      </c>
      <c r="Z49" s="3">
        <v>0</v>
      </c>
      <c r="CX49" s="9"/>
      <c r="CY49" s="5"/>
      <c r="DA49"/>
      <c r="DC49"/>
      <c r="DD49" s="1"/>
      <c r="DF49" s="1"/>
      <c r="DH49" s="1"/>
      <c r="DJ49" s="1"/>
      <c r="DL49" s="1"/>
      <c r="DN49" s="1"/>
      <c r="DP49" s="1"/>
    </row>
    <row r="50" spans="1:120">
      <c r="A50">
        <v>20037</v>
      </c>
      <c r="B50" s="1" t="s">
        <v>225</v>
      </c>
      <c r="C50" s="1" t="s">
        <v>379</v>
      </c>
      <c r="D50" s="1" t="str">
        <f>VLOOKUP( 91,Squads!A:E,5,0)</f>
        <v>BOU</v>
      </c>
      <c r="E50" s="1" t="str">
        <f>VLOOKUP( 3,$CX$2:$CY$5,2,0)</f>
        <v>MID</v>
      </c>
      <c r="F50" s="8">
        <v>2500000</v>
      </c>
      <c r="G50" s="1" t="s">
        <v>0</v>
      </c>
      <c r="H50" s="1">
        <v>2500000</v>
      </c>
      <c r="I50" s="1">
        <v>2500000</v>
      </c>
      <c r="J50" s="3">
        <v>2500000</v>
      </c>
      <c r="K50" s="3">
        <v>2500000</v>
      </c>
      <c r="L50" s="3">
        <v>0</v>
      </c>
      <c r="M50" s="3">
        <v>8</v>
      </c>
      <c r="O50" s="3">
        <v>0</v>
      </c>
      <c r="P50" s="3">
        <v>103</v>
      </c>
      <c r="Q50" s="3">
        <v>3</v>
      </c>
      <c r="R50" s="3">
        <v>8</v>
      </c>
      <c r="S50" s="3">
        <v>2.7</v>
      </c>
      <c r="T50" s="3">
        <v>8</v>
      </c>
      <c r="U50" s="3">
        <v>0</v>
      </c>
      <c r="V50" s="3">
        <v>2.7</v>
      </c>
      <c r="W50" s="3">
        <v>2</v>
      </c>
      <c r="X50" s="3">
        <v>383</v>
      </c>
      <c r="Y50" s="3">
        <v>0</v>
      </c>
      <c r="Z50" s="3">
        <v>0</v>
      </c>
      <c r="CX50" s="9"/>
      <c r="CY50" s="5"/>
      <c r="DA50"/>
      <c r="DC50"/>
      <c r="DD50" s="1"/>
      <c r="DF50" s="1"/>
      <c r="DH50" s="1"/>
      <c r="DJ50" s="1"/>
      <c r="DL50" s="1"/>
      <c r="DN50" s="1"/>
      <c r="DP50" s="1"/>
    </row>
    <row r="51" spans="1:120">
      <c r="A51">
        <v>20066</v>
      </c>
      <c r="B51" s="1" t="s">
        <v>92</v>
      </c>
      <c r="C51" s="1" t="s">
        <v>237</v>
      </c>
      <c r="D51" s="1" t="str">
        <f>VLOOKUP( 31,Squads!A:E,5,0)</f>
        <v>CRY</v>
      </c>
      <c r="E51" s="1" t="str">
        <f>VLOOKUP( 1,$CX$2:$CY$5,2,0)</f>
        <v>GK</v>
      </c>
      <c r="F51" s="8">
        <v>2000000</v>
      </c>
      <c r="G51" s="1" t="s">
        <v>0</v>
      </c>
      <c r="H51" s="1">
        <v>2000000</v>
      </c>
      <c r="I51" s="1">
        <v>2000000</v>
      </c>
      <c r="J51" s="3">
        <v>2000000</v>
      </c>
      <c r="K51" s="3">
        <v>2000000</v>
      </c>
      <c r="L51" s="3">
        <v>-2</v>
      </c>
      <c r="M51" s="3">
        <v>8</v>
      </c>
      <c r="N51" s="3">
        <v>-1</v>
      </c>
      <c r="O51" s="3">
        <v>199</v>
      </c>
      <c r="P51" s="3">
        <v>155</v>
      </c>
      <c r="Q51" s="3">
        <v>3</v>
      </c>
      <c r="R51" s="3">
        <v>5</v>
      </c>
      <c r="S51" s="3">
        <v>1.7</v>
      </c>
      <c r="T51" s="3">
        <v>8</v>
      </c>
      <c r="U51" s="3">
        <v>-2</v>
      </c>
      <c r="V51" s="3">
        <v>1.7</v>
      </c>
      <c r="W51" s="3">
        <v>1</v>
      </c>
      <c r="X51" s="3">
        <v>4874</v>
      </c>
      <c r="Y51" s="3">
        <v>0.4</v>
      </c>
      <c r="Z51" s="3">
        <v>0</v>
      </c>
      <c r="CX51" s="9"/>
      <c r="CY51" s="5"/>
      <c r="DA51"/>
      <c r="DC51"/>
      <c r="DD51" s="1"/>
      <c r="DF51" s="1"/>
      <c r="DH51" s="1"/>
      <c r="DJ51" s="1"/>
      <c r="DL51" s="1"/>
      <c r="DN51" s="1"/>
      <c r="DP51" s="1"/>
    </row>
    <row r="52" spans="1:120">
      <c r="A52">
        <v>20208</v>
      </c>
      <c r="B52" s="1" t="s">
        <v>244</v>
      </c>
      <c r="C52" s="1" t="s">
        <v>129</v>
      </c>
      <c r="D52" s="1" t="str">
        <f>VLOOKUP( 110,Squads!A:E,5,0)</f>
        <v>STK</v>
      </c>
      <c r="E52" s="1" t="str">
        <f>VLOOKUP( 3,$CX$2:$CY$5,2,0)</f>
        <v>MID</v>
      </c>
      <c r="F52" s="8">
        <v>1500000</v>
      </c>
      <c r="G52" s="1" t="s">
        <v>0</v>
      </c>
      <c r="H52" s="1">
        <v>1500000</v>
      </c>
      <c r="I52" s="1">
        <v>1500000</v>
      </c>
      <c r="J52" s="3">
        <v>1500000</v>
      </c>
      <c r="K52" s="3">
        <v>1500000</v>
      </c>
      <c r="M52" s="3">
        <v>0</v>
      </c>
      <c r="O52" s="3">
        <v>0</v>
      </c>
      <c r="P52" s="3">
        <v>218</v>
      </c>
      <c r="Q52" s="3">
        <v>1</v>
      </c>
      <c r="R52" s="3">
        <v>0</v>
      </c>
      <c r="S52" s="3">
        <v>0</v>
      </c>
      <c r="T52" s="3">
        <v>0</v>
      </c>
      <c r="U52" s="3">
        <v>0</v>
      </c>
      <c r="V52" s="3">
        <v>2.7</v>
      </c>
      <c r="W52" s="3">
        <v>2.2000000000000002</v>
      </c>
      <c r="X52" s="3">
        <v>570</v>
      </c>
      <c r="Y52" s="3">
        <v>0</v>
      </c>
      <c r="Z52" s="3">
        <v>0</v>
      </c>
      <c r="CX52" s="9"/>
      <c r="CY52" s="5"/>
      <c r="DA52"/>
      <c r="DC52"/>
      <c r="DD52" s="1"/>
      <c r="DF52" s="1"/>
      <c r="DH52" s="1"/>
      <c r="DJ52" s="1"/>
      <c r="DL52" s="1"/>
      <c r="DN52" s="1"/>
      <c r="DP52" s="1"/>
    </row>
    <row r="53" spans="1:120">
      <c r="A53">
        <v>20310</v>
      </c>
      <c r="B53" s="1" t="s">
        <v>398</v>
      </c>
      <c r="C53" s="1" t="s">
        <v>399</v>
      </c>
      <c r="D53" s="1" t="str">
        <f>VLOOKUP( 8,Squads!A:E,5,0)</f>
        <v>CHE</v>
      </c>
      <c r="E53" s="1" t="str">
        <f>VLOOKUP( 1,$CX$2:$CY$5,2,0)</f>
        <v>GK</v>
      </c>
      <c r="F53" s="8">
        <v>2500000</v>
      </c>
      <c r="G53" s="1" t="s">
        <v>0</v>
      </c>
      <c r="H53" s="1">
        <v>2500000</v>
      </c>
      <c r="I53" s="1">
        <v>2500000</v>
      </c>
      <c r="J53" s="3">
        <v>2500000</v>
      </c>
      <c r="K53" s="3">
        <v>2500000</v>
      </c>
      <c r="O53" s="3">
        <v>0</v>
      </c>
      <c r="P53" s="3">
        <v>218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0.3</v>
      </c>
      <c r="W53" s="3">
        <v>0.8</v>
      </c>
      <c r="X53" s="3">
        <v>2480</v>
      </c>
      <c r="Y53" s="3">
        <v>0.2</v>
      </c>
      <c r="Z53" s="3">
        <v>0</v>
      </c>
      <c r="CX53" s="9"/>
      <c r="CY53" s="5"/>
      <c r="DA53"/>
      <c r="DC53"/>
      <c r="DD53" s="1"/>
      <c r="DF53" s="1"/>
      <c r="DH53" s="1"/>
      <c r="DJ53" s="1"/>
      <c r="DL53" s="1"/>
      <c r="DN53" s="1"/>
      <c r="DP53" s="1"/>
    </row>
    <row r="54" spans="1:120">
      <c r="A54">
        <v>20452</v>
      </c>
      <c r="B54" s="1" t="s">
        <v>400</v>
      </c>
      <c r="C54" s="1" t="s">
        <v>177</v>
      </c>
      <c r="D54" s="1" t="str">
        <f>VLOOKUP( 20,Squads!A:E,5,0)</f>
        <v>SOU</v>
      </c>
      <c r="E54" s="1" t="str">
        <f>VLOOKUP( 4,$CX$2:$CY$5,2,0)</f>
        <v>STR</v>
      </c>
      <c r="F54" s="8">
        <v>1800000</v>
      </c>
      <c r="G54" s="1" t="s">
        <v>0</v>
      </c>
      <c r="H54" s="1">
        <v>2000000</v>
      </c>
      <c r="I54" s="1">
        <v>2000000</v>
      </c>
      <c r="J54" s="3">
        <v>2000000</v>
      </c>
      <c r="K54" s="3">
        <v>1800000</v>
      </c>
      <c r="M54" s="3">
        <v>0</v>
      </c>
      <c r="N54" s="3">
        <v>0</v>
      </c>
      <c r="O54" s="3">
        <v>108</v>
      </c>
      <c r="P54" s="3">
        <v>218</v>
      </c>
      <c r="Q54" s="3">
        <v>3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3293</v>
      </c>
      <c r="Y54" s="3">
        <v>0.3</v>
      </c>
      <c r="Z54" s="3">
        <v>0</v>
      </c>
      <c r="CX54" s="9"/>
      <c r="CY54" s="5"/>
      <c r="DA54"/>
      <c r="DC54"/>
      <c r="DD54" s="1"/>
      <c r="DF54" s="1"/>
      <c r="DH54" s="1"/>
      <c r="DJ54" s="1"/>
      <c r="DL54" s="1"/>
      <c r="DN54" s="1"/>
      <c r="DP54" s="1"/>
    </row>
    <row r="55" spans="1:120">
      <c r="A55">
        <v>20467</v>
      </c>
      <c r="B55" s="1" t="s">
        <v>262</v>
      </c>
      <c r="C55" s="1" t="s">
        <v>263</v>
      </c>
      <c r="D55" s="1" t="str">
        <f>VLOOKUP( 3,Squads!A:E,5,0)</f>
        <v>ARS</v>
      </c>
      <c r="E55" s="1" t="str">
        <f>VLOOKUP( 4,$CX$2:$CY$5,2,0)</f>
        <v>STR</v>
      </c>
      <c r="F55" s="8">
        <v>4000000</v>
      </c>
      <c r="G55" s="1" t="s">
        <v>0</v>
      </c>
      <c r="H55" s="1">
        <v>4000000</v>
      </c>
      <c r="I55" s="1">
        <v>4000000</v>
      </c>
      <c r="J55" s="3">
        <v>4000000</v>
      </c>
      <c r="K55" s="3">
        <v>4000000</v>
      </c>
      <c r="L55" s="3">
        <v>0</v>
      </c>
      <c r="M55" s="3">
        <v>0</v>
      </c>
      <c r="O55" s="3">
        <v>0</v>
      </c>
      <c r="P55" s="3">
        <v>218</v>
      </c>
      <c r="Q55" s="3">
        <v>2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1.6</v>
      </c>
      <c r="X55" s="3">
        <v>13295</v>
      </c>
      <c r="Y55" s="3">
        <v>1.2</v>
      </c>
      <c r="Z55" s="3">
        <v>0</v>
      </c>
      <c r="CX55" s="9"/>
      <c r="CY55" s="5"/>
      <c r="DA55"/>
      <c r="DC55"/>
      <c r="DD55" s="1"/>
      <c r="DF55" s="1"/>
      <c r="DH55" s="1"/>
      <c r="DJ55" s="1"/>
      <c r="DL55" s="1"/>
      <c r="DN55" s="1"/>
      <c r="DP55" s="1"/>
    </row>
    <row r="56" spans="1:120">
      <c r="A56">
        <v>20529</v>
      </c>
      <c r="B56" s="1" t="s">
        <v>390</v>
      </c>
      <c r="C56" s="1" t="s">
        <v>778</v>
      </c>
      <c r="D56" s="1" t="str">
        <f>VLOOKUP( 36,Squads!A:E,5,0)</f>
        <v>BHA</v>
      </c>
      <c r="E56" s="1" t="str">
        <f>VLOOKUP( 4,$CX$2:$CY$5,2,0)</f>
        <v>STR</v>
      </c>
      <c r="F56" s="8">
        <v>2500000</v>
      </c>
      <c r="G56" s="1" t="s">
        <v>0</v>
      </c>
      <c r="H56" s="1">
        <v>2500000</v>
      </c>
      <c r="I56" s="1">
        <v>2500000</v>
      </c>
      <c r="J56" s="3">
        <v>2500000</v>
      </c>
      <c r="K56" s="3">
        <v>2500000</v>
      </c>
      <c r="L56" s="3">
        <v>0</v>
      </c>
      <c r="M56" s="3">
        <v>0</v>
      </c>
      <c r="O56" s="3">
        <v>0</v>
      </c>
      <c r="P56" s="3">
        <v>218</v>
      </c>
      <c r="Q56" s="3">
        <v>2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1406</v>
      </c>
      <c r="Y56" s="3">
        <v>0.1</v>
      </c>
      <c r="Z56" s="3">
        <v>0</v>
      </c>
      <c r="CX56" s="9"/>
      <c r="CY56" s="5"/>
      <c r="DA56"/>
      <c r="DC56"/>
      <c r="DD56" s="1"/>
      <c r="DF56" s="1"/>
      <c r="DH56" s="1"/>
      <c r="DJ56" s="1"/>
      <c r="DL56" s="1"/>
      <c r="DN56" s="1"/>
      <c r="DP56" s="1"/>
    </row>
    <row r="57" spans="1:120">
      <c r="A57">
        <v>20658</v>
      </c>
      <c r="B57" s="1" t="s">
        <v>259</v>
      </c>
      <c r="C57" s="1" t="s">
        <v>260</v>
      </c>
      <c r="D57" s="1" t="str">
        <f>VLOOKUP( 21,Squads!A:E,5,0)</f>
        <v>WHU</v>
      </c>
      <c r="E57" s="1" t="str">
        <f>VLOOKUP( 2,$CX$2:$CY$5,2,0)</f>
        <v>DEF</v>
      </c>
      <c r="F57" s="8">
        <v>2700000</v>
      </c>
      <c r="G57" s="1" t="s">
        <v>0</v>
      </c>
      <c r="H57" s="1">
        <v>3000000</v>
      </c>
      <c r="I57" s="1">
        <v>3000000</v>
      </c>
      <c r="J57" s="3">
        <v>3000000</v>
      </c>
      <c r="K57" s="3">
        <v>2700000</v>
      </c>
      <c r="L57" s="3">
        <v>-4</v>
      </c>
      <c r="M57" s="3">
        <v>-3</v>
      </c>
      <c r="N57" s="3">
        <v>-2</v>
      </c>
      <c r="O57" s="3">
        <v>226</v>
      </c>
      <c r="P57" s="3">
        <v>375</v>
      </c>
      <c r="Q57" s="3">
        <v>3</v>
      </c>
      <c r="R57" s="3">
        <v>-9</v>
      </c>
      <c r="S57" s="3">
        <v>-3</v>
      </c>
      <c r="T57" s="3">
        <v>-2</v>
      </c>
      <c r="U57" s="3">
        <v>-4</v>
      </c>
      <c r="V57" s="3">
        <v>-3</v>
      </c>
      <c r="W57" s="3">
        <v>-0.2</v>
      </c>
      <c r="X57" s="3">
        <v>41631</v>
      </c>
      <c r="Y57" s="3">
        <v>3.7</v>
      </c>
      <c r="Z57" s="3">
        <v>0</v>
      </c>
      <c r="CF57" s="4"/>
      <c r="CX57" s="9"/>
      <c r="CY57" s="5"/>
      <c r="DA57"/>
      <c r="DC57"/>
      <c r="DD57" s="1"/>
      <c r="DF57" s="1"/>
      <c r="DH57" s="1"/>
      <c r="DJ57" s="1"/>
      <c r="DL57" s="1"/>
      <c r="DN57" s="1"/>
      <c r="DP57" s="1"/>
    </row>
    <row r="58" spans="1:120">
      <c r="A58">
        <v>20664</v>
      </c>
      <c r="B58" s="1" t="s">
        <v>3</v>
      </c>
      <c r="C58" s="1" t="s">
        <v>195</v>
      </c>
      <c r="D58" s="1" t="str">
        <f>VLOOKUP( 43,Squads!A:E,5,0)</f>
        <v>MCI</v>
      </c>
      <c r="E58" s="1" t="str">
        <f>VLOOKUP( 3,$CX$2:$CY$5,2,0)</f>
        <v>MID</v>
      </c>
      <c r="F58" s="8">
        <v>5100000</v>
      </c>
      <c r="G58" s="1" t="s">
        <v>0</v>
      </c>
      <c r="H58" s="1">
        <v>5000000</v>
      </c>
      <c r="I58" s="1">
        <v>5000000</v>
      </c>
      <c r="J58" s="3">
        <v>5000000</v>
      </c>
      <c r="K58" s="3">
        <v>5100000</v>
      </c>
      <c r="L58" s="3">
        <v>10</v>
      </c>
      <c r="M58" s="3">
        <v>3</v>
      </c>
      <c r="N58" s="3">
        <v>4</v>
      </c>
      <c r="O58" s="3">
        <v>66</v>
      </c>
      <c r="P58" s="3">
        <v>39</v>
      </c>
      <c r="Q58" s="3">
        <v>3</v>
      </c>
      <c r="R58" s="3">
        <v>17</v>
      </c>
      <c r="S58" s="3">
        <v>5.7</v>
      </c>
      <c r="T58" s="3">
        <v>10</v>
      </c>
      <c r="U58" s="3">
        <v>3</v>
      </c>
      <c r="V58" s="3">
        <v>5.7</v>
      </c>
      <c r="W58" s="3">
        <v>4</v>
      </c>
      <c r="X58" s="3">
        <v>63288</v>
      </c>
      <c r="Y58" s="3">
        <v>5.5</v>
      </c>
      <c r="Z58" s="3">
        <v>0</v>
      </c>
      <c r="CP58" s="7"/>
      <c r="CR58" s="6"/>
      <c r="CX58" s="9"/>
      <c r="CY58" s="5"/>
      <c r="DA58"/>
      <c r="DC58"/>
      <c r="DD58" s="1"/>
      <c r="DF58" s="1"/>
      <c r="DH58" s="1"/>
      <c r="DJ58" s="1"/>
      <c r="DL58" s="1"/>
      <c r="DN58" s="1"/>
      <c r="DP58" s="1"/>
    </row>
    <row r="59" spans="1:120">
      <c r="A59">
        <v>20695</v>
      </c>
      <c r="B59" s="1" t="s">
        <v>105</v>
      </c>
      <c r="C59" s="1" t="s">
        <v>401</v>
      </c>
      <c r="D59" s="1" t="str">
        <f>VLOOKUP( 1,Squads!A:E,5,0)</f>
        <v>MUN</v>
      </c>
      <c r="E59" s="1" t="str">
        <f>VLOOKUP( 2,$CX$2:$CY$5,2,0)</f>
        <v>DEF</v>
      </c>
      <c r="F59" s="8">
        <v>4300000</v>
      </c>
      <c r="G59" s="1" t="s">
        <v>0</v>
      </c>
      <c r="H59" s="1">
        <v>4000000</v>
      </c>
      <c r="I59" s="1">
        <v>4000000</v>
      </c>
      <c r="J59" s="3">
        <v>4000000</v>
      </c>
      <c r="K59" s="3">
        <v>4300000</v>
      </c>
      <c r="L59" s="3">
        <v>7</v>
      </c>
      <c r="M59" s="3">
        <v>8</v>
      </c>
      <c r="N59" s="3">
        <v>8</v>
      </c>
      <c r="O59" s="3">
        <v>13</v>
      </c>
      <c r="P59" s="3">
        <v>16</v>
      </c>
      <c r="Q59" s="3">
        <v>3</v>
      </c>
      <c r="R59" s="3">
        <v>23</v>
      </c>
      <c r="S59" s="3">
        <v>7.7</v>
      </c>
      <c r="T59" s="3">
        <v>8</v>
      </c>
      <c r="U59" s="3">
        <v>7</v>
      </c>
      <c r="V59" s="3">
        <v>7.7</v>
      </c>
      <c r="W59" s="3">
        <v>6.2</v>
      </c>
      <c r="X59" s="3">
        <v>213194</v>
      </c>
      <c r="Y59" s="3">
        <v>18.7</v>
      </c>
      <c r="Z59" s="3">
        <v>0</v>
      </c>
      <c r="CP59" s="7"/>
      <c r="CR59" s="6"/>
      <c r="CX59" s="9"/>
      <c r="CY59" s="5"/>
      <c r="DA59"/>
      <c r="DC59"/>
      <c r="DD59" s="1"/>
      <c r="DF59" s="1"/>
      <c r="DH59" s="1"/>
      <c r="DJ59" s="1"/>
      <c r="DL59" s="1"/>
      <c r="DN59" s="1"/>
      <c r="DP59" s="1"/>
    </row>
    <row r="60" spans="1:120">
      <c r="A60">
        <v>21123</v>
      </c>
      <c r="B60" s="1" t="s">
        <v>352</v>
      </c>
      <c r="C60" s="1" t="s">
        <v>353</v>
      </c>
      <c r="D60" s="1" t="str">
        <f>VLOOKUP( 57,Squads!A:E,5,0)</f>
        <v>WAT</v>
      </c>
      <c r="E60" s="1" t="str">
        <f>VLOOKUP( 3,$CX$2:$CY$5,2,0)</f>
        <v>MID</v>
      </c>
      <c r="F60" s="8">
        <v>1000000</v>
      </c>
      <c r="G60" s="1" t="s">
        <v>0</v>
      </c>
      <c r="H60" s="1">
        <v>1000000</v>
      </c>
      <c r="I60" s="1">
        <v>1000000</v>
      </c>
      <c r="J60" s="3">
        <v>1000000</v>
      </c>
      <c r="K60" s="3">
        <v>1000000</v>
      </c>
      <c r="O60" s="3">
        <v>0</v>
      </c>
      <c r="P60" s="3">
        <v>218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391</v>
      </c>
      <c r="Y60" s="3">
        <v>0</v>
      </c>
      <c r="Z60" s="3">
        <v>0</v>
      </c>
      <c r="CP60" s="7"/>
      <c r="CR60" s="6"/>
      <c r="CX60" s="9"/>
      <c r="CY60" s="5"/>
      <c r="DA60"/>
      <c r="DC60"/>
      <c r="DD60" s="1"/>
      <c r="DF60" s="1"/>
      <c r="DH60" s="1"/>
      <c r="DJ60" s="1"/>
      <c r="DL60" s="1"/>
      <c r="DN60" s="1"/>
      <c r="DP60" s="1"/>
    </row>
    <row r="61" spans="1:120">
      <c r="A61">
        <v>21205</v>
      </c>
      <c r="B61" s="1" t="s">
        <v>253</v>
      </c>
      <c r="C61" s="1" t="s">
        <v>293</v>
      </c>
      <c r="D61" s="1" t="str">
        <f>VLOOKUP( 90,Squads!A:E,5,0)</f>
        <v>BUR</v>
      </c>
      <c r="E61" s="1" t="str">
        <f>VLOOKUP( 1,$CX$2:$CY$5,2,0)</f>
        <v>GK</v>
      </c>
      <c r="F61" s="8">
        <v>2300000</v>
      </c>
      <c r="G61" s="1" t="s">
        <v>0</v>
      </c>
      <c r="H61" s="1">
        <v>2500000</v>
      </c>
      <c r="I61" s="1">
        <v>2500000</v>
      </c>
      <c r="J61" s="3">
        <v>2500000</v>
      </c>
      <c r="K61" s="3">
        <v>2300000</v>
      </c>
      <c r="L61" s="3">
        <v>-1</v>
      </c>
      <c r="M61" s="3">
        <v>0</v>
      </c>
      <c r="N61" s="3">
        <v>0</v>
      </c>
      <c r="O61" s="3">
        <v>108</v>
      </c>
      <c r="P61" s="3">
        <v>342</v>
      </c>
      <c r="Q61" s="3">
        <v>3</v>
      </c>
      <c r="R61" s="3">
        <v>-1</v>
      </c>
      <c r="S61" s="3">
        <v>-0.3</v>
      </c>
      <c r="T61" s="3">
        <v>0</v>
      </c>
      <c r="U61" s="3">
        <v>-1</v>
      </c>
      <c r="V61" s="3">
        <v>-0.3</v>
      </c>
      <c r="W61" s="3">
        <v>0.2</v>
      </c>
      <c r="X61" s="3">
        <v>17946</v>
      </c>
      <c r="Y61" s="3">
        <v>1.6</v>
      </c>
      <c r="Z61" s="3">
        <v>0</v>
      </c>
      <c r="CP61" s="7"/>
      <c r="CR61" s="6"/>
      <c r="CX61" s="9"/>
      <c r="CY61" s="5"/>
      <c r="DA61"/>
      <c r="DC61"/>
      <c r="DD61" s="1"/>
      <c r="DF61" s="1"/>
      <c r="DH61" s="1"/>
      <c r="DJ61" s="1"/>
      <c r="DL61" s="1"/>
      <c r="DN61" s="1"/>
      <c r="DP61" s="1"/>
    </row>
    <row r="62" spans="1:120">
      <c r="A62">
        <v>26901</v>
      </c>
      <c r="B62" s="1" t="s">
        <v>1</v>
      </c>
      <c r="C62" s="1" t="s">
        <v>274</v>
      </c>
      <c r="D62" s="1" t="str">
        <f>VLOOKUP( 11,Squads!A:E,5,0)</f>
        <v>EVE</v>
      </c>
      <c r="E62" s="1" t="str">
        <f>VLOOKUP( 3,$CX$2:$CY$5,2,0)</f>
        <v>MID</v>
      </c>
      <c r="F62" s="8">
        <v>2500000</v>
      </c>
      <c r="G62" s="1" t="s">
        <v>0</v>
      </c>
      <c r="H62" s="1">
        <v>2500000</v>
      </c>
      <c r="I62" s="1">
        <v>2500000</v>
      </c>
      <c r="J62" s="3">
        <v>2500000</v>
      </c>
      <c r="K62" s="3">
        <v>2500000</v>
      </c>
      <c r="L62" s="3">
        <v>3</v>
      </c>
      <c r="O62" s="3">
        <v>0</v>
      </c>
      <c r="P62" s="3">
        <v>178</v>
      </c>
      <c r="Q62" s="3">
        <v>2</v>
      </c>
      <c r="R62" s="3">
        <v>3</v>
      </c>
      <c r="S62" s="3">
        <v>1.5</v>
      </c>
      <c r="T62" s="3">
        <v>3</v>
      </c>
      <c r="U62" s="3">
        <v>0</v>
      </c>
      <c r="V62" s="3">
        <v>2.7</v>
      </c>
      <c r="W62" s="3">
        <v>3.6</v>
      </c>
      <c r="X62" s="3">
        <v>3906</v>
      </c>
      <c r="Y62" s="3">
        <v>0.3</v>
      </c>
      <c r="Z62" s="3">
        <v>0</v>
      </c>
      <c r="CP62" s="7"/>
      <c r="CR62" s="6"/>
      <c r="CX62" s="9"/>
      <c r="CY62" s="5"/>
      <c r="DA62"/>
      <c r="DC62"/>
      <c r="DD62" s="1"/>
      <c r="DF62" s="1"/>
      <c r="DH62" s="1"/>
      <c r="DJ62" s="1"/>
      <c r="DL62" s="1"/>
      <c r="DN62" s="1"/>
      <c r="DP62" s="1"/>
    </row>
    <row r="63" spans="1:120">
      <c r="A63">
        <v>27341</v>
      </c>
      <c r="B63" s="1" t="s">
        <v>160</v>
      </c>
      <c r="C63" s="1" t="s">
        <v>161</v>
      </c>
      <c r="D63" s="1" t="str">
        <f>VLOOKUP( 31,Squads!A:E,5,0)</f>
        <v>CRY</v>
      </c>
      <c r="E63" s="1" t="str">
        <f>VLOOKUP( 3,$CX$2:$CY$5,2,0)</f>
        <v>MID</v>
      </c>
      <c r="F63" s="8">
        <v>2900000</v>
      </c>
      <c r="G63" s="1" t="s">
        <v>0</v>
      </c>
      <c r="H63" s="1">
        <v>3000000</v>
      </c>
      <c r="I63" s="1">
        <v>3000000</v>
      </c>
      <c r="J63" s="3">
        <v>3000000</v>
      </c>
      <c r="K63" s="3">
        <v>2900000</v>
      </c>
      <c r="M63" s="3">
        <v>3</v>
      </c>
      <c r="N63" s="3">
        <v>-1</v>
      </c>
      <c r="O63" s="3">
        <v>199</v>
      </c>
      <c r="P63" s="3">
        <v>197</v>
      </c>
      <c r="Q63" s="3">
        <v>2</v>
      </c>
      <c r="R63" s="3">
        <v>2</v>
      </c>
      <c r="S63" s="3">
        <v>1</v>
      </c>
      <c r="T63" s="3">
        <v>3</v>
      </c>
      <c r="U63" s="3">
        <v>-1</v>
      </c>
      <c r="V63" s="3">
        <v>0.7</v>
      </c>
      <c r="W63" s="3">
        <v>0.2</v>
      </c>
      <c r="X63" s="3">
        <v>1195</v>
      </c>
      <c r="Y63" s="3">
        <v>0.1</v>
      </c>
      <c r="Z63" s="3">
        <v>0</v>
      </c>
      <c r="CP63" s="7"/>
      <c r="CR63" s="6"/>
      <c r="CX63" s="9"/>
      <c r="CY63" s="5"/>
      <c r="DA63"/>
      <c r="DC63"/>
      <c r="DD63" s="1"/>
      <c r="DF63" s="1"/>
      <c r="DH63" s="1"/>
      <c r="DJ63" s="1"/>
      <c r="DL63" s="1"/>
      <c r="DN63" s="1"/>
      <c r="DP63" s="1"/>
    </row>
    <row r="64" spans="1:120">
      <c r="A64">
        <v>27789</v>
      </c>
      <c r="C64" s="1" t="s">
        <v>190</v>
      </c>
      <c r="D64" s="1" t="str">
        <f>VLOOKUP( 43,Squads!A:E,5,0)</f>
        <v>MCI</v>
      </c>
      <c r="E64" s="1" t="str">
        <f>VLOOKUP( 3,$CX$2:$CY$5,2,0)</f>
        <v>MID</v>
      </c>
      <c r="F64" s="8">
        <v>2600000</v>
      </c>
      <c r="G64" s="1" t="s">
        <v>0</v>
      </c>
      <c r="H64" s="1">
        <v>2500000</v>
      </c>
      <c r="I64" s="1">
        <v>2500000</v>
      </c>
      <c r="J64" s="3">
        <v>2500000</v>
      </c>
      <c r="K64" s="3">
        <v>2600000</v>
      </c>
      <c r="L64" s="3">
        <v>5</v>
      </c>
      <c r="M64" s="3">
        <v>0</v>
      </c>
      <c r="N64" s="3">
        <v>3</v>
      </c>
      <c r="O64" s="3">
        <v>71</v>
      </c>
      <c r="P64" s="3">
        <v>103</v>
      </c>
      <c r="Q64" s="3">
        <v>3</v>
      </c>
      <c r="R64" s="3">
        <v>8</v>
      </c>
      <c r="S64" s="3">
        <v>2.7</v>
      </c>
      <c r="T64" s="3">
        <v>5</v>
      </c>
      <c r="U64" s="3">
        <v>0</v>
      </c>
      <c r="V64" s="3">
        <v>2.7</v>
      </c>
      <c r="W64" s="3">
        <v>2.6</v>
      </c>
      <c r="X64" s="3">
        <v>11261</v>
      </c>
      <c r="Y64" s="3">
        <v>1</v>
      </c>
      <c r="Z64" s="3">
        <v>0</v>
      </c>
      <c r="CP64" s="7"/>
      <c r="CR64" s="6"/>
      <c r="CX64" s="9"/>
      <c r="CY64" s="5"/>
      <c r="DA64"/>
      <c r="DC64"/>
      <c r="DD64" s="1"/>
      <c r="DF64" s="1"/>
      <c r="DH64" s="1"/>
      <c r="DJ64" s="1"/>
      <c r="DL64" s="1"/>
      <c r="DN64" s="1"/>
      <c r="DP64" s="1"/>
    </row>
    <row r="65" spans="1:120">
      <c r="A65">
        <v>28147</v>
      </c>
      <c r="B65" s="1" t="s">
        <v>268</v>
      </c>
      <c r="C65" s="1" t="s">
        <v>779</v>
      </c>
      <c r="D65" s="1" t="str">
        <f>VLOOKUP( 4,Squads!A:E,5,0)</f>
        <v>NEW</v>
      </c>
      <c r="E65" s="1" t="str">
        <f>VLOOKUP( 3,$CX$2:$CY$5,2,0)</f>
        <v>MID</v>
      </c>
      <c r="F65" s="8">
        <v>2300000</v>
      </c>
      <c r="G65" s="1" t="s">
        <v>0</v>
      </c>
      <c r="H65" s="1">
        <v>2500000</v>
      </c>
      <c r="I65" s="1">
        <v>2500000</v>
      </c>
      <c r="J65" s="3">
        <v>2500000</v>
      </c>
      <c r="K65" s="3">
        <v>2300000</v>
      </c>
      <c r="M65" s="3">
        <v>0</v>
      </c>
      <c r="N65" s="3">
        <v>0</v>
      </c>
      <c r="O65" s="3">
        <v>108</v>
      </c>
      <c r="P65" s="3">
        <v>218</v>
      </c>
      <c r="Q65" s="3">
        <v>3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2</v>
      </c>
      <c r="X65" s="3">
        <v>1336</v>
      </c>
      <c r="Y65" s="3">
        <v>0.1</v>
      </c>
      <c r="Z65" s="3">
        <v>0</v>
      </c>
      <c r="CP65" s="7"/>
      <c r="CR65" s="6"/>
      <c r="CX65" s="9"/>
      <c r="CY65" s="5"/>
      <c r="DA65"/>
      <c r="DC65"/>
      <c r="DD65" s="1"/>
      <c r="DF65" s="1"/>
      <c r="DH65" s="1"/>
      <c r="DJ65" s="1"/>
      <c r="DL65" s="1"/>
      <c r="DN65" s="1"/>
      <c r="DP65" s="1"/>
    </row>
    <row r="66" spans="1:120">
      <c r="A66">
        <v>28462</v>
      </c>
      <c r="B66" s="1" t="s">
        <v>319</v>
      </c>
      <c r="C66" s="1" t="s">
        <v>780</v>
      </c>
      <c r="D66" s="1" t="str">
        <f>VLOOKUP( 36,Squads!A:E,5,0)</f>
        <v>BHA</v>
      </c>
      <c r="E66" s="1" t="str">
        <f>VLOOKUP( 4,$CX$2:$CY$5,2,0)</f>
        <v>STR</v>
      </c>
      <c r="F66" s="8">
        <v>1500000</v>
      </c>
      <c r="G66" s="1" t="s">
        <v>1011</v>
      </c>
      <c r="H66" s="1">
        <v>1500000</v>
      </c>
      <c r="I66" s="1">
        <v>1500000</v>
      </c>
      <c r="J66" s="3">
        <v>1500000</v>
      </c>
      <c r="K66" s="3">
        <v>1500000</v>
      </c>
      <c r="O66" s="3">
        <v>0</v>
      </c>
      <c r="P66" s="3">
        <v>218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354</v>
      </c>
      <c r="Y66" s="3">
        <v>0</v>
      </c>
      <c r="Z66" s="3">
        <v>0</v>
      </c>
      <c r="CP66" s="7"/>
      <c r="CR66" s="6"/>
      <c r="CX66" s="9"/>
      <c r="CY66" s="5"/>
      <c r="DA66"/>
      <c r="DC66"/>
      <c r="DD66" s="1"/>
      <c r="DF66" s="1"/>
      <c r="DH66" s="1"/>
      <c r="DJ66" s="1"/>
      <c r="DL66" s="1"/>
      <c r="DN66" s="1"/>
      <c r="DP66" s="1"/>
    </row>
    <row r="67" spans="1:120">
      <c r="A67">
        <v>28654</v>
      </c>
      <c r="B67" s="1" t="s">
        <v>175</v>
      </c>
      <c r="C67" s="1" t="s">
        <v>252</v>
      </c>
      <c r="D67" s="1" t="str">
        <f>VLOOKUP( 80,Squads!A:E,5,0)</f>
        <v>SWA</v>
      </c>
      <c r="E67" s="1" t="str">
        <f>VLOOKUP( 2,$CX$2:$CY$5,2,0)</f>
        <v>DEF</v>
      </c>
      <c r="F67" s="8">
        <v>2500000</v>
      </c>
      <c r="G67" s="1" t="s">
        <v>0</v>
      </c>
      <c r="H67" s="1">
        <v>2500000</v>
      </c>
      <c r="I67" s="1">
        <v>2500000</v>
      </c>
      <c r="J67" s="3">
        <v>2500000</v>
      </c>
      <c r="K67" s="3">
        <v>2500000</v>
      </c>
      <c r="L67" s="3">
        <v>5</v>
      </c>
      <c r="M67" s="3">
        <v>-3</v>
      </c>
      <c r="N67" s="3">
        <v>5</v>
      </c>
      <c r="O67" s="3">
        <v>48</v>
      </c>
      <c r="P67" s="3">
        <v>124</v>
      </c>
      <c r="Q67" s="3">
        <v>4</v>
      </c>
      <c r="R67" s="3">
        <v>7</v>
      </c>
      <c r="S67" s="3">
        <v>1.8</v>
      </c>
      <c r="T67" s="3">
        <v>5</v>
      </c>
      <c r="U67" s="3">
        <v>-3</v>
      </c>
      <c r="V67" s="3">
        <v>0.7</v>
      </c>
      <c r="W67" s="3">
        <v>1</v>
      </c>
      <c r="X67" s="3">
        <v>4397</v>
      </c>
      <c r="Y67" s="3">
        <v>0.4</v>
      </c>
      <c r="Z67" s="3">
        <v>0</v>
      </c>
      <c r="CP67" s="7"/>
      <c r="CX67" s="9"/>
      <c r="CY67" s="5"/>
      <c r="DA67"/>
      <c r="DC67"/>
      <c r="DD67" s="1"/>
      <c r="DF67" s="1"/>
      <c r="DH67" s="1"/>
      <c r="DJ67" s="1"/>
      <c r="DL67" s="1"/>
      <c r="DN67" s="1"/>
      <c r="DP67" s="1"/>
    </row>
    <row r="68" spans="1:120">
      <c r="A68">
        <v>32259</v>
      </c>
      <c r="B68" s="1" t="s">
        <v>323</v>
      </c>
      <c r="C68" s="1" t="s">
        <v>402</v>
      </c>
      <c r="D68" s="1" t="str">
        <f>VLOOKUP( 21,Squads!A:E,5,0)</f>
        <v>WHU</v>
      </c>
      <c r="E68" s="1" t="str">
        <f>VLOOKUP( 1,$CX$2:$CY$5,2,0)</f>
        <v>GK</v>
      </c>
      <c r="F68" s="8">
        <v>2000000</v>
      </c>
      <c r="G68" s="1" t="s">
        <v>978</v>
      </c>
      <c r="H68" s="1">
        <v>2000000</v>
      </c>
      <c r="I68" s="1">
        <v>2000000</v>
      </c>
      <c r="J68" s="3">
        <v>2000000</v>
      </c>
      <c r="K68" s="3">
        <v>2000000</v>
      </c>
      <c r="O68" s="3">
        <v>0</v>
      </c>
      <c r="P68" s="3">
        <v>218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2.2999999999999998</v>
      </c>
      <c r="W68" s="3">
        <v>2.4</v>
      </c>
      <c r="X68" s="3">
        <v>289</v>
      </c>
      <c r="Y68" s="3">
        <v>0</v>
      </c>
      <c r="Z68" s="3">
        <v>0</v>
      </c>
      <c r="CX68" s="9"/>
      <c r="CY68" s="5"/>
      <c r="DA68"/>
      <c r="DC68"/>
      <c r="DD68" s="1"/>
      <c r="DF68" s="1"/>
      <c r="DH68" s="1"/>
      <c r="DJ68" s="1"/>
      <c r="DL68" s="1"/>
      <c r="DN68" s="1"/>
      <c r="DP68" s="1"/>
    </row>
    <row r="69" spans="1:120">
      <c r="A69">
        <v>33148</v>
      </c>
      <c r="B69" s="1" t="s">
        <v>363</v>
      </c>
      <c r="C69" s="1" t="s">
        <v>468</v>
      </c>
      <c r="D69" s="1" t="str">
        <f>VLOOKUP( 43,Squads!A:E,5,0)</f>
        <v>MCI</v>
      </c>
      <c r="E69" s="1" t="str">
        <f>VLOOKUP( 1,$CX$2:$CY$5,2,0)</f>
        <v>GK</v>
      </c>
      <c r="F69" s="8">
        <v>2500000</v>
      </c>
      <c r="G69" s="1" t="s">
        <v>0</v>
      </c>
      <c r="H69" s="1">
        <v>2500000</v>
      </c>
      <c r="I69" s="1">
        <v>2500000</v>
      </c>
      <c r="J69" s="3">
        <v>2500000</v>
      </c>
      <c r="K69" s="3">
        <v>2500000</v>
      </c>
      <c r="O69" s="3">
        <v>0</v>
      </c>
      <c r="P69" s="3">
        <v>218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-0.3</v>
      </c>
      <c r="W69" s="3">
        <v>0.8</v>
      </c>
      <c r="X69" s="3">
        <v>2460</v>
      </c>
      <c r="Y69" s="3">
        <v>0.2</v>
      </c>
      <c r="Z69" s="3">
        <v>0</v>
      </c>
      <c r="CX69" s="9"/>
      <c r="CY69" s="5"/>
      <c r="DA69"/>
      <c r="DC69"/>
      <c r="DD69" s="1"/>
      <c r="DF69" s="1"/>
      <c r="DH69" s="1"/>
      <c r="DJ69" s="1"/>
      <c r="DL69" s="1"/>
      <c r="DN69" s="1"/>
      <c r="DP69" s="1"/>
    </row>
    <row r="70" spans="1:120">
      <c r="A70">
        <v>33871</v>
      </c>
      <c r="B70" s="1" t="s">
        <v>403</v>
      </c>
      <c r="C70" s="1" t="s">
        <v>404</v>
      </c>
      <c r="D70" s="1" t="str">
        <f>VLOOKUP( 14,Squads!A:E,5,0)</f>
        <v>LIV</v>
      </c>
      <c r="E70" s="1" t="str">
        <f>VLOOKUP( 2,$CX$2:$CY$5,2,0)</f>
        <v>DEF</v>
      </c>
      <c r="F70" s="8">
        <v>2500000</v>
      </c>
      <c r="G70" s="1" t="s">
        <v>0</v>
      </c>
      <c r="H70" s="1">
        <v>2500000</v>
      </c>
      <c r="I70" s="1">
        <v>2500000</v>
      </c>
      <c r="J70" s="3">
        <v>2500000</v>
      </c>
      <c r="K70" s="3">
        <v>2500000</v>
      </c>
      <c r="M70" s="3">
        <v>7</v>
      </c>
      <c r="O70" s="3">
        <v>0</v>
      </c>
      <c r="P70" s="3">
        <v>124</v>
      </c>
      <c r="Q70" s="3">
        <v>2</v>
      </c>
      <c r="R70" s="3">
        <v>7</v>
      </c>
      <c r="S70" s="3">
        <v>3.5</v>
      </c>
      <c r="T70" s="3">
        <v>8</v>
      </c>
      <c r="U70" s="3">
        <v>-1</v>
      </c>
      <c r="V70" s="3">
        <v>2.2999999999999998</v>
      </c>
      <c r="W70" s="3">
        <v>2</v>
      </c>
      <c r="X70" s="3">
        <v>5584</v>
      </c>
      <c r="Y70" s="3">
        <v>0.5</v>
      </c>
      <c r="Z70" s="3">
        <v>0</v>
      </c>
      <c r="CX70" s="9"/>
      <c r="CY70" s="5"/>
      <c r="DA70"/>
      <c r="DC70"/>
      <c r="DD70" s="1"/>
      <c r="DF70" s="1"/>
      <c r="DH70" s="1"/>
      <c r="DJ70" s="1"/>
      <c r="DL70" s="1"/>
      <c r="DN70" s="1"/>
      <c r="DP70" s="1"/>
    </row>
    <row r="71" spans="1:120">
      <c r="A71">
        <v>37096</v>
      </c>
      <c r="B71" s="1" t="s">
        <v>235</v>
      </c>
      <c r="C71" s="1" t="s">
        <v>236</v>
      </c>
      <c r="D71" s="1" t="str">
        <f>VLOOKUP( 80,Squads!A:E,5,0)</f>
        <v>SWA</v>
      </c>
      <c r="E71" s="1" t="str">
        <f>VLOOKUP( 1,$CX$2:$CY$5,2,0)</f>
        <v>GK</v>
      </c>
      <c r="F71" s="8">
        <v>2800000</v>
      </c>
      <c r="G71" s="1" t="s">
        <v>0</v>
      </c>
      <c r="H71" s="1">
        <v>2500000</v>
      </c>
      <c r="I71" s="1">
        <v>2500000</v>
      </c>
      <c r="J71" s="3">
        <v>2500000</v>
      </c>
      <c r="K71" s="3">
        <v>2800000</v>
      </c>
      <c r="L71" s="3">
        <v>8</v>
      </c>
      <c r="M71" s="3">
        <v>-3</v>
      </c>
      <c r="N71" s="3">
        <v>8</v>
      </c>
      <c r="O71" s="3">
        <v>13</v>
      </c>
      <c r="P71" s="3">
        <v>64</v>
      </c>
      <c r="Q71" s="3">
        <v>3</v>
      </c>
      <c r="R71" s="3">
        <v>13</v>
      </c>
      <c r="S71" s="3">
        <v>4.3</v>
      </c>
      <c r="T71" s="3">
        <v>8</v>
      </c>
      <c r="U71" s="3">
        <v>-3</v>
      </c>
      <c r="V71" s="3">
        <v>4.3</v>
      </c>
      <c r="W71" s="3">
        <v>2.6</v>
      </c>
      <c r="X71" s="3">
        <v>3135</v>
      </c>
      <c r="Y71" s="3">
        <v>0.3</v>
      </c>
      <c r="Z71" s="3">
        <v>0</v>
      </c>
      <c r="CX71" s="9"/>
      <c r="CY71" s="5"/>
      <c r="DA71"/>
      <c r="DC71"/>
      <c r="DD71" s="1"/>
      <c r="DF71" s="1"/>
      <c r="DH71" s="1"/>
      <c r="DJ71" s="1"/>
      <c r="DL71" s="1"/>
      <c r="DN71" s="1"/>
      <c r="DP71" s="1"/>
    </row>
    <row r="72" spans="1:120">
      <c r="A72">
        <v>37265</v>
      </c>
      <c r="B72" s="1" t="s">
        <v>40</v>
      </c>
      <c r="C72" s="1" t="s">
        <v>405</v>
      </c>
      <c r="D72" s="1" t="str">
        <f>VLOOKUP( 3,Squads!A:E,5,0)</f>
        <v>ARS</v>
      </c>
      <c r="E72" s="1" t="str">
        <f>VLOOKUP( 4,$CX$2:$CY$5,2,0)</f>
        <v>STR</v>
      </c>
      <c r="F72" s="8">
        <v>7200000</v>
      </c>
      <c r="G72" s="1" t="s">
        <v>0</v>
      </c>
      <c r="H72" s="1">
        <v>7500000</v>
      </c>
      <c r="I72" s="1">
        <v>7500000</v>
      </c>
      <c r="J72" s="3">
        <v>7500000</v>
      </c>
      <c r="K72" s="3">
        <v>7200000</v>
      </c>
      <c r="N72" s="3">
        <v>0</v>
      </c>
      <c r="O72" s="3">
        <v>108</v>
      </c>
      <c r="P72" s="3">
        <v>218</v>
      </c>
      <c r="Q72" s="3">
        <v>1</v>
      </c>
      <c r="R72" s="3">
        <v>0</v>
      </c>
      <c r="S72" s="3">
        <v>0</v>
      </c>
      <c r="T72" s="3">
        <v>0</v>
      </c>
      <c r="U72" s="3">
        <v>0</v>
      </c>
      <c r="V72" s="3">
        <v>2.7</v>
      </c>
      <c r="W72" s="3">
        <v>2.6</v>
      </c>
      <c r="X72" s="3">
        <v>63684</v>
      </c>
      <c r="Y72" s="3">
        <v>5.6</v>
      </c>
      <c r="Z72" s="3">
        <v>0</v>
      </c>
      <c r="CX72" s="9"/>
      <c r="CY72" s="5"/>
      <c r="DA72"/>
      <c r="DC72"/>
      <c r="DD72" s="1"/>
      <c r="DF72" s="1"/>
      <c r="DH72" s="1"/>
      <c r="DJ72" s="1"/>
      <c r="DL72" s="1"/>
      <c r="DN72" s="1"/>
      <c r="DP72" s="1"/>
    </row>
    <row r="73" spans="1:120">
      <c r="A73">
        <v>37402</v>
      </c>
      <c r="B73" s="1" t="s">
        <v>54</v>
      </c>
      <c r="C73" s="1" t="s">
        <v>97</v>
      </c>
      <c r="D73" s="1" t="str">
        <f>VLOOKUP( 13,Squads!A:E,5,0)</f>
        <v>LEI</v>
      </c>
      <c r="E73" s="1" t="str">
        <f>VLOOKUP( 2,$CX$2:$CY$5,2,0)</f>
        <v>DEF</v>
      </c>
      <c r="F73" s="8">
        <v>3400000</v>
      </c>
      <c r="G73" s="1" t="s">
        <v>0</v>
      </c>
      <c r="H73" s="1">
        <v>3500000</v>
      </c>
      <c r="I73" s="1">
        <v>3500000</v>
      </c>
      <c r="J73" s="3">
        <v>3500000</v>
      </c>
      <c r="K73" s="3">
        <v>3400000</v>
      </c>
      <c r="L73" s="3">
        <v>-3</v>
      </c>
      <c r="M73" s="3">
        <v>11</v>
      </c>
      <c r="N73" s="3">
        <v>-1</v>
      </c>
      <c r="O73" s="3">
        <v>199</v>
      </c>
      <c r="P73" s="3">
        <v>124</v>
      </c>
      <c r="Q73" s="3">
        <v>4</v>
      </c>
      <c r="R73" s="3">
        <v>7</v>
      </c>
      <c r="S73" s="3">
        <v>1.8</v>
      </c>
      <c r="T73" s="3">
        <v>8</v>
      </c>
      <c r="U73" s="3">
        <v>-3</v>
      </c>
      <c r="V73" s="3">
        <v>3.3</v>
      </c>
      <c r="W73" s="3">
        <v>0.8</v>
      </c>
      <c r="X73" s="3">
        <v>21743</v>
      </c>
      <c r="Y73" s="3">
        <v>1.9</v>
      </c>
      <c r="Z73" s="3">
        <v>0</v>
      </c>
      <c r="CX73" s="9"/>
      <c r="CY73" s="5"/>
      <c r="DA73"/>
      <c r="DC73"/>
      <c r="DD73" s="1"/>
      <c r="DF73" s="1"/>
      <c r="DH73" s="1"/>
      <c r="DJ73" s="1"/>
      <c r="DL73" s="1"/>
      <c r="DN73" s="1"/>
      <c r="DP73" s="1"/>
    </row>
    <row r="74" spans="1:120">
      <c r="A74">
        <v>37572</v>
      </c>
      <c r="B74" s="1" t="s">
        <v>406</v>
      </c>
      <c r="C74" s="1" t="s">
        <v>407</v>
      </c>
      <c r="D74" s="1" t="str">
        <f>VLOOKUP( 43,Squads!A:E,5,0)</f>
        <v>MCI</v>
      </c>
      <c r="E74" s="1" t="str">
        <f>VLOOKUP( 4,$CX$2:$CY$5,2,0)</f>
        <v>STR</v>
      </c>
      <c r="F74" s="8">
        <v>6700000</v>
      </c>
      <c r="G74" s="1" t="s">
        <v>0</v>
      </c>
      <c r="H74" s="1">
        <v>7000000</v>
      </c>
      <c r="I74" s="1">
        <v>7000000</v>
      </c>
      <c r="J74" s="3">
        <v>7000000</v>
      </c>
      <c r="K74" s="3">
        <v>6700000</v>
      </c>
      <c r="L74" s="3">
        <v>8</v>
      </c>
      <c r="M74" s="3">
        <v>0</v>
      </c>
      <c r="N74" s="3">
        <v>0</v>
      </c>
      <c r="O74" s="3">
        <v>108</v>
      </c>
      <c r="P74" s="3">
        <v>103</v>
      </c>
      <c r="Q74" s="3">
        <v>3</v>
      </c>
      <c r="R74" s="3">
        <v>8</v>
      </c>
      <c r="S74" s="3">
        <v>2.7</v>
      </c>
      <c r="T74" s="3">
        <v>8</v>
      </c>
      <c r="U74" s="3">
        <v>0</v>
      </c>
      <c r="V74" s="3">
        <v>2.7</v>
      </c>
      <c r="W74" s="3">
        <v>5.6</v>
      </c>
      <c r="X74" s="3">
        <v>287043</v>
      </c>
      <c r="Y74" s="3">
        <v>25.2</v>
      </c>
      <c r="Z74" s="3">
        <v>0</v>
      </c>
      <c r="CX74" s="9"/>
      <c r="CY74" s="5"/>
      <c r="DA74"/>
      <c r="DC74"/>
      <c r="DD74" s="1"/>
      <c r="DF74" s="1"/>
      <c r="DH74" s="1"/>
      <c r="DJ74" s="1"/>
      <c r="DL74" s="1"/>
      <c r="DN74" s="1"/>
      <c r="DP74" s="1"/>
    </row>
    <row r="75" spans="1:120">
      <c r="A75">
        <v>37605</v>
      </c>
      <c r="B75" s="1" t="s">
        <v>15</v>
      </c>
      <c r="C75" s="1" t="s">
        <v>781</v>
      </c>
      <c r="D75" s="1" t="str">
        <f>VLOOKUP( 3,Squads!A:E,5,0)</f>
        <v>ARS</v>
      </c>
      <c r="E75" s="1" t="str">
        <f>VLOOKUP( 3,$CX$2:$CY$5,2,0)</f>
        <v>MID</v>
      </c>
      <c r="F75" s="8">
        <v>5200000</v>
      </c>
      <c r="G75" s="1" t="s">
        <v>0</v>
      </c>
      <c r="H75" s="1">
        <v>5500000</v>
      </c>
      <c r="I75" s="1">
        <v>5500000</v>
      </c>
      <c r="J75" s="3">
        <v>5500000</v>
      </c>
      <c r="K75" s="3">
        <v>5200000</v>
      </c>
      <c r="L75" s="3">
        <v>3</v>
      </c>
      <c r="M75" s="3">
        <v>3</v>
      </c>
      <c r="N75" s="3">
        <v>-1</v>
      </c>
      <c r="O75" s="3">
        <v>199</v>
      </c>
      <c r="P75" s="3">
        <v>155</v>
      </c>
      <c r="Q75" s="3">
        <v>3</v>
      </c>
      <c r="R75" s="3">
        <v>5</v>
      </c>
      <c r="S75" s="3">
        <v>1.7</v>
      </c>
      <c r="T75" s="3">
        <v>3</v>
      </c>
      <c r="U75" s="3">
        <v>-1</v>
      </c>
      <c r="V75" s="3">
        <v>1.7</v>
      </c>
      <c r="W75" s="3">
        <v>2.6</v>
      </c>
      <c r="X75" s="3">
        <v>82006</v>
      </c>
      <c r="Y75" s="3">
        <v>7.2</v>
      </c>
      <c r="Z75" s="3">
        <v>0</v>
      </c>
      <c r="CX75" s="9"/>
      <c r="CY75" s="5"/>
      <c r="DA75"/>
      <c r="DC75"/>
      <c r="DD75" s="1"/>
      <c r="DF75" s="1"/>
      <c r="DH75" s="1"/>
      <c r="DJ75" s="1"/>
      <c r="DL75" s="1"/>
      <c r="DN75" s="1"/>
      <c r="DP75" s="1"/>
    </row>
    <row r="76" spans="1:120">
      <c r="A76">
        <v>37642</v>
      </c>
      <c r="B76" s="1" t="s">
        <v>264</v>
      </c>
      <c r="C76" s="1" t="s">
        <v>265</v>
      </c>
      <c r="D76" s="1" t="str">
        <f>VLOOKUP( 35,Squads!A:E,5,0)</f>
        <v>WBA</v>
      </c>
      <c r="E76" s="1" t="str">
        <f>VLOOKUP( 2,$CX$2:$CY$5,2,0)</f>
        <v>DEF</v>
      </c>
      <c r="F76" s="8">
        <v>2500000</v>
      </c>
      <c r="G76" s="1" t="s">
        <v>0</v>
      </c>
      <c r="H76" s="1">
        <v>2500000</v>
      </c>
      <c r="I76" s="1">
        <v>2500000</v>
      </c>
      <c r="J76" s="3">
        <v>2500000</v>
      </c>
      <c r="K76" s="3">
        <v>2500000</v>
      </c>
      <c r="O76" s="3">
        <v>0</v>
      </c>
      <c r="P76" s="3">
        <v>218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3.7</v>
      </c>
      <c r="W76" s="3">
        <v>2.2000000000000002</v>
      </c>
      <c r="X76" s="3">
        <v>27192</v>
      </c>
      <c r="Y76" s="3">
        <v>2.4</v>
      </c>
      <c r="Z76" s="3">
        <v>0</v>
      </c>
      <c r="CX76" s="9"/>
      <c r="CY76" s="5"/>
      <c r="DA76"/>
      <c r="DC76"/>
      <c r="DD76" s="1"/>
      <c r="DF76" s="1"/>
      <c r="DH76" s="1"/>
      <c r="DJ76" s="1"/>
      <c r="DL76" s="1"/>
      <c r="DN76" s="1"/>
      <c r="DP76" s="1"/>
    </row>
    <row r="77" spans="1:120">
      <c r="A77">
        <v>37742</v>
      </c>
      <c r="B77" s="1" t="s">
        <v>308</v>
      </c>
      <c r="C77" s="1" t="s">
        <v>309</v>
      </c>
      <c r="D77" s="1" t="str">
        <f>VLOOKUP( 57,Squads!A:E,5,0)</f>
        <v>WAT</v>
      </c>
      <c r="E77" s="1" t="str">
        <f>VLOOKUP( 2,$CX$2:$CY$5,2,0)</f>
        <v>DEF</v>
      </c>
      <c r="F77" s="8">
        <v>2500000</v>
      </c>
      <c r="G77" s="1" t="s">
        <v>1011</v>
      </c>
      <c r="H77" s="1">
        <v>2500000</v>
      </c>
      <c r="I77" s="1">
        <v>2500000</v>
      </c>
      <c r="J77" s="3">
        <v>2500000</v>
      </c>
      <c r="K77" s="3">
        <v>2500000</v>
      </c>
      <c r="L77" s="3">
        <v>1</v>
      </c>
      <c r="O77" s="3">
        <v>0</v>
      </c>
      <c r="P77" s="3">
        <v>216</v>
      </c>
      <c r="Q77" s="3">
        <v>1</v>
      </c>
      <c r="R77" s="3">
        <v>1</v>
      </c>
      <c r="S77" s="3">
        <v>1</v>
      </c>
      <c r="T77" s="3">
        <v>1</v>
      </c>
      <c r="U77" s="3">
        <v>1</v>
      </c>
      <c r="V77" s="3">
        <v>1</v>
      </c>
      <c r="W77" s="3">
        <v>0</v>
      </c>
      <c r="X77" s="3">
        <v>2037</v>
      </c>
      <c r="Y77" s="3">
        <v>0.2</v>
      </c>
      <c r="Z77" s="3">
        <v>0</v>
      </c>
      <c r="CX77" s="9"/>
      <c r="CY77" s="5"/>
      <c r="DA77"/>
      <c r="DC77"/>
      <c r="DD77" s="1"/>
      <c r="DF77" s="1"/>
      <c r="DH77" s="1"/>
      <c r="DJ77" s="1"/>
      <c r="DL77" s="1"/>
      <c r="DN77" s="1"/>
      <c r="DP77" s="1"/>
    </row>
    <row r="78" spans="1:120">
      <c r="A78">
        <v>37869</v>
      </c>
      <c r="B78" s="1" t="s">
        <v>85</v>
      </c>
      <c r="C78" s="1" t="s">
        <v>86</v>
      </c>
      <c r="D78" s="1" t="str">
        <f>VLOOKUP( 110,Squads!A:E,5,0)</f>
        <v>STK</v>
      </c>
      <c r="E78" s="1" t="str">
        <f>VLOOKUP( 2,$CX$2:$CY$5,2,0)</f>
        <v>DEF</v>
      </c>
      <c r="F78" s="8">
        <v>3200000</v>
      </c>
      <c r="G78" s="1" t="s">
        <v>0</v>
      </c>
      <c r="H78" s="1">
        <v>3000000</v>
      </c>
      <c r="I78" s="1">
        <v>3000000</v>
      </c>
      <c r="J78" s="3">
        <v>3000000</v>
      </c>
      <c r="K78" s="3">
        <v>3200000</v>
      </c>
      <c r="L78" s="3">
        <v>0</v>
      </c>
      <c r="M78" s="3">
        <v>8</v>
      </c>
      <c r="N78" s="3">
        <v>3</v>
      </c>
      <c r="O78" s="3">
        <v>71</v>
      </c>
      <c r="P78" s="3">
        <v>78</v>
      </c>
      <c r="Q78" s="3">
        <v>3</v>
      </c>
      <c r="R78" s="3">
        <v>11</v>
      </c>
      <c r="S78" s="3">
        <v>3.7</v>
      </c>
      <c r="T78" s="3">
        <v>8</v>
      </c>
      <c r="U78" s="3">
        <v>0</v>
      </c>
      <c r="V78" s="3">
        <v>3.7</v>
      </c>
      <c r="W78" s="3">
        <v>3.6</v>
      </c>
      <c r="X78" s="3">
        <v>14699</v>
      </c>
      <c r="Y78" s="3">
        <v>1.3</v>
      </c>
      <c r="Z78" s="3">
        <v>0</v>
      </c>
      <c r="CX78" s="9"/>
      <c r="CY78" s="5"/>
      <c r="DA78"/>
      <c r="DC78"/>
      <c r="DD78" s="1"/>
      <c r="DF78" s="1"/>
      <c r="DH78" s="1"/>
      <c r="DJ78" s="1"/>
      <c r="DL78" s="1"/>
      <c r="DN78" s="1"/>
      <c r="DP78" s="1"/>
    </row>
    <row r="79" spans="1:120">
      <c r="A79">
        <v>37915</v>
      </c>
      <c r="B79" s="1" t="s">
        <v>76</v>
      </c>
      <c r="C79" s="1" t="s">
        <v>77</v>
      </c>
      <c r="D79" s="1" t="str">
        <f>VLOOKUP( 6,Squads!A:E,5,0)</f>
        <v>TOT</v>
      </c>
      <c r="E79" s="1" t="str">
        <f>VLOOKUP( 1,$CX$2:$CY$5,2,0)</f>
        <v>GK</v>
      </c>
      <c r="F79" s="8">
        <v>4300000</v>
      </c>
      <c r="G79" s="1" t="s">
        <v>0</v>
      </c>
      <c r="H79" s="1">
        <v>4500000</v>
      </c>
      <c r="I79" s="1">
        <v>4500000</v>
      </c>
      <c r="J79" s="3">
        <v>4500000</v>
      </c>
      <c r="K79" s="3">
        <v>4300000</v>
      </c>
      <c r="L79" s="3">
        <v>8</v>
      </c>
      <c r="M79" s="3">
        <v>-1</v>
      </c>
      <c r="N79" s="3">
        <v>0</v>
      </c>
      <c r="O79" s="3">
        <v>108</v>
      </c>
      <c r="P79" s="3">
        <v>124</v>
      </c>
      <c r="Q79" s="3">
        <v>3</v>
      </c>
      <c r="R79" s="3">
        <v>7</v>
      </c>
      <c r="S79" s="3">
        <v>2.2999999999999998</v>
      </c>
      <c r="T79" s="3">
        <v>8</v>
      </c>
      <c r="U79" s="3">
        <v>-1</v>
      </c>
      <c r="V79" s="3">
        <v>2.2999999999999998</v>
      </c>
      <c r="W79" s="3">
        <v>1.2</v>
      </c>
      <c r="X79" s="3">
        <v>133515</v>
      </c>
      <c r="Y79" s="3">
        <v>11.7</v>
      </c>
      <c r="Z79" s="3">
        <v>0</v>
      </c>
      <c r="CX79" s="9"/>
      <c r="CY79" s="5"/>
      <c r="DA79"/>
      <c r="DC79"/>
      <c r="DD79" s="1"/>
      <c r="DF79" s="1"/>
      <c r="DH79" s="1"/>
      <c r="DJ79" s="1"/>
      <c r="DL79" s="1"/>
      <c r="DN79" s="1"/>
      <c r="DP79" s="1"/>
    </row>
    <row r="80" spans="1:120">
      <c r="A80">
        <v>38290</v>
      </c>
      <c r="B80" s="1" t="s">
        <v>60</v>
      </c>
      <c r="C80" s="1" t="s">
        <v>61</v>
      </c>
      <c r="D80" s="1" t="str">
        <f>VLOOKUP( 6,Squads!A:E,5,0)</f>
        <v>TOT</v>
      </c>
      <c r="E80" s="1" t="str">
        <f>VLOOKUP( 2,$CX$2:$CY$5,2,0)</f>
        <v>DEF</v>
      </c>
      <c r="F80" s="8">
        <v>4500000</v>
      </c>
      <c r="G80" s="1" t="s">
        <v>1011</v>
      </c>
      <c r="H80" s="1">
        <v>4500000</v>
      </c>
      <c r="I80" s="1">
        <v>4500000</v>
      </c>
      <c r="J80" s="3">
        <v>4500000</v>
      </c>
      <c r="K80" s="3">
        <v>4500000</v>
      </c>
      <c r="O80" s="3">
        <v>0</v>
      </c>
      <c r="P80" s="3">
        <v>218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6.3</v>
      </c>
      <c r="W80" s="3">
        <v>5.6</v>
      </c>
      <c r="X80" s="3">
        <v>18095</v>
      </c>
      <c r="Y80" s="3">
        <v>1.6</v>
      </c>
      <c r="Z80" s="3">
        <v>0</v>
      </c>
      <c r="CX80" s="9"/>
      <c r="CY80" s="5"/>
      <c r="DA80"/>
      <c r="DC80"/>
      <c r="DD80" s="1"/>
      <c r="DF80" s="1"/>
      <c r="DH80" s="1"/>
      <c r="DJ80" s="1"/>
      <c r="DL80" s="1"/>
      <c r="DN80" s="1"/>
      <c r="DP80" s="1"/>
    </row>
    <row r="81" spans="1:120">
      <c r="A81">
        <v>38411</v>
      </c>
      <c r="B81" s="1" t="s">
        <v>125</v>
      </c>
      <c r="C81" s="1" t="s">
        <v>126</v>
      </c>
      <c r="D81" s="1" t="str">
        <f>VLOOKUP( 3,Squads!A:E,5,0)</f>
        <v>ARS</v>
      </c>
      <c r="E81" s="1" t="str">
        <f>VLOOKUP( 2,$CX$2:$CY$5,2,0)</f>
        <v>DEF</v>
      </c>
      <c r="F81" s="8">
        <v>3700000</v>
      </c>
      <c r="G81" s="1" t="s">
        <v>0</v>
      </c>
      <c r="H81" s="1">
        <v>4000000</v>
      </c>
      <c r="I81" s="1">
        <v>4000000</v>
      </c>
      <c r="J81" s="3">
        <v>4000000</v>
      </c>
      <c r="K81" s="3">
        <v>3700000</v>
      </c>
      <c r="L81" s="3">
        <v>1</v>
      </c>
      <c r="M81" s="3">
        <v>0</v>
      </c>
      <c r="N81" s="3">
        <v>-3</v>
      </c>
      <c r="O81" s="3">
        <v>235</v>
      </c>
      <c r="P81" s="3">
        <v>354</v>
      </c>
      <c r="Q81" s="3">
        <v>3</v>
      </c>
      <c r="R81" s="3">
        <v>-2</v>
      </c>
      <c r="S81" s="3">
        <v>-0.7</v>
      </c>
      <c r="T81" s="3">
        <v>1</v>
      </c>
      <c r="U81" s="3">
        <v>-3</v>
      </c>
      <c r="V81" s="3">
        <v>-0.7</v>
      </c>
      <c r="W81" s="3">
        <v>0.6</v>
      </c>
      <c r="X81" s="3">
        <v>30934</v>
      </c>
      <c r="Y81" s="3">
        <v>2.7</v>
      </c>
      <c r="Z81" s="3">
        <v>0</v>
      </c>
      <c r="CX81" s="9"/>
      <c r="CY81" s="5"/>
      <c r="DA81"/>
      <c r="DC81"/>
      <c r="DD81" s="1"/>
      <c r="DF81" s="1"/>
      <c r="DH81" s="1"/>
      <c r="DJ81" s="1"/>
      <c r="DL81" s="1"/>
      <c r="DN81" s="1"/>
      <c r="DP81" s="1"/>
    </row>
    <row r="82" spans="1:120">
      <c r="A82">
        <v>38439</v>
      </c>
      <c r="B82" s="1" t="s">
        <v>344</v>
      </c>
      <c r="C82" s="1" t="s">
        <v>345</v>
      </c>
      <c r="D82" s="1" t="str">
        <f>VLOOKUP( 57,Squads!A:E,5,0)</f>
        <v>WAT</v>
      </c>
      <c r="E82" s="1" t="str">
        <f>VLOOKUP( 3,$CX$2:$CY$5,2,0)</f>
        <v>MID</v>
      </c>
      <c r="F82" s="8">
        <v>3000000</v>
      </c>
      <c r="G82" s="1" t="s">
        <v>0</v>
      </c>
      <c r="H82" s="1">
        <v>3000000</v>
      </c>
      <c r="I82" s="1">
        <v>3000000</v>
      </c>
      <c r="J82" s="3">
        <v>3000000</v>
      </c>
      <c r="K82" s="3">
        <v>3000000</v>
      </c>
      <c r="M82" s="3">
        <v>12</v>
      </c>
      <c r="O82" s="3">
        <v>0</v>
      </c>
      <c r="P82" s="3">
        <v>71</v>
      </c>
      <c r="Q82" s="3">
        <v>2</v>
      </c>
      <c r="R82" s="3">
        <v>12</v>
      </c>
      <c r="S82" s="3">
        <v>6</v>
      </c>
      <c r="T82" s="3">
        <v>8</v>
      </c>
      <c r="U82" s="3">
        <v>4</v>
      </c>
      <c r="V82" s="3">
        <v>4</v>
      </c>
      <c r="W82" s="3">
        <v>2.4</v>
      </c>
      <c r="X82" s="3">
        <v>2980</v>
      </c>
      <c r="Y82" s="3">
        <v>0.3</v>
      </c>
      <c r="Z82" s="3">
        <v>0</v>
      </c>
      <c r="CX82" s="9"/>
      <c r="CY82" s="5"/>
      <c r="DA82"/>
      <c r="DC82"/>
      <c r="DD82" s="1"/>
      <c r="DF82" s="1"/>
      <c r="DH82" s="1"/>
      <c r="DJ82" s="1"/>
      <c r="DL82" s="1"/>
      <c r="DN82" s="1"/>
      <c r="DP82" s="1"/>
    </row>
    <row r="83" spans="1:120">
      <c r="A83">
        <v>38454</v>
      </c>
      <c r="B83" s="1" t="s">
        <v>106</v>
      </c>
      <c r="C83" s="1" t="s">
        <v>107</v>
      </c>
      <c r="D83" s="1" t="str">
        <f>VLOOKUP( 14,Squads!A:E,5,0)</f>
        <v>LIV</v>
      </c>
      <c r="E83" s="1" t="str">
        <f>VLOOKUP( 2,$CX$2:$CY$5,2,0)</f>
        <v>DEF</v>
      </c>
      <c r="F83" s="8">
        <v>3900000</v>
      </c>
      <c r="G83" s="1" t="s">
        <v>0</v>
      </c>
      <c r="H83" s="1">
        <v>4000000</v>
      </c>
      <c r="I83" s="1">
        <v>4000000</v>
      </c>
      <c r="J83" s="3">
        <v>4000000</v>
      </c>
      <c r="K83" s="3">
        <v>3900000</v>
      </c>
      <c r="L83" s="3">
        <v>1</v>
      </c>
      <c r="M83" s="3">
        <v>4</v>
      </c>
      <c r="N83" s="3">
        <v>4</v>
      </c>
      <c r="O83" s="3">
        <v>66</v>
      </c>
      <c r="P83" s="3">
        <v>95</v>
      </c>
      <c r="Q83" s="3">
        <v>5</v>
      </c>
      <c r="R83" s="3">
        <v>9</v>
      </c>
      <c r="S83" s="3">
        <v>1.8</v>
      </c>
      <c r="T83" s="3">
        <v>5</v>
      </c>
      <c r="U83" s="3">
        <v>-1</v>
      </c>
      <c r="V83" s="3">
        <v>2.7</v>
      </c>
      <c r="W83" s="3">
        <v>1.8</v>
      </c>
      <c r="X83" s="3">
        <v>9121</v>
      </c>
      <c r="Y83" s="3">
        <v>0.8</v>
      </c>
      <c r="Z83" s="3">
        <v>0</v>
      </c>
      <c r="CX83" s="9"/>
      <c r="CY83" s="5"/>
      <c r="DA83"/>
      <c r="DC83"/>
      <c r="DD83" s="1"/>
      <c r="DF83" s="1"/>
      <c r="DH83" s="1"/>
      <c r="DJ83" s="1"/>
      <c r="DL83" s="1"/>
      <c r="DN83" s="1"/>
      <c r="DP83" s="1"/>
    </row>
    <row r="84" spans="1:120">
      <c r="A84">
        <v>38499</v>
      </c>
      <c r="B84" s="1" t="s">
        <v>782</v>
      </c>
      <c r="C84" s="1" t="s">
        <v>783</v>
      </c>
      <c r="D84" s="1" t="str">
        <f>VLOOKUP( 36,Squads!A:E,5,0)</f>
        <v>BHA</v>
      </c>
      <c r="E84" s="1" t="str">
        <f>VLOOKUP( 4,$CX$2:$CY$5,2,0)</f>
        <v>STR</v>
      </c>
      <c r="F84" s="8">
        <v>1800000</v>
      </c>
      <c r="G84" s="1" t="s">
        <v>0</v>
      </c>
      <c r="H84" s="1">
        <v>2000000</v>
      </c>
      <c r="I84" s="1">
        <v>2000000</v>
      </c>
      <c r="J84" s="3">
        <v>2000000</v>
      </c>
      <c r="K84" s="3">
        <v>1800000</v>
      </c>
      <c r="L84" s="3">
        <v>0</v>
      </c>
      <c r="M84" s="3">
        <v>0</v>
      </c>
      <c r="N84" s="3">
        <v>0</v>
      </c>
      <c r="O84" s="3">
        <v>108</v>
      </c>
      <c r="P84" s="3">
        <v>218</v>
      </c>
      <c r="Q84" s="3">
        <v>4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527</v>
      </c>
      <c r="Y84" s="3">
        <v>0</v>
      </c>
      <c r="Z84" s="3">
        <v>0</v>
      </c>
      <c r="CX84" s="9"/>
      <c r="CY84" s="5"/>
      <c r="DA84"/>
      <c r="DC84"/>
      <c r="DD84" s="1"/>
      <c r="DF84" s="1"/>
      <c r="DH84" s="1"/>
      <c r="DJ84" s="1"/>
      <c r="DL84" s="1"/>
      <c r="DN84" s="1"/>
      <c r="DP84" s="1"/>
    </row>
    <row r="85" spans="1:120">
      <c r="A85">
        <v>38580</v>
      </c>
      <c r="B85" s="1" t="s">
        <v>46</v>
      </c>
      <c r="C85" s="1" t="s">
        <v>47</v>
      </c>
      <c r="D85" s="1" t="str">
        <f>VLOOKUP( 21,Squads!A:E,5,0)</f>
        <v>WHU</v>
      </c>
      <c r="E85" s="1" t="str">
        <f>VLOOKUP( 2,$CX$2:$CY$5,2,0)</f>
        <v>DEF</v>
      </c>
      <c r="F85" s="8">
        <v>3000000</v>
      </c>
      <c r="G85" s="1" t="s">
        <v>0</v>
      </c>
      <c r="H85" s="1">
        <v>3000000</v>
      </c>
      <c r="I85" s="1">
        <v>3000000</v>
      </c>
      <c r="J85" s="3">
        <v>3000000</v>
      </c>
      <c r="K85" s="3">
        <v>3000000</v>
      </c>
      <c r="M85" s="3">
        <v>-2</v>
      </c>
      <c r="O85" s="3">
        <v>0</v>
      </c>
      <c r="P85" s="3">
        <v>354</v>
      </c>
      <c r="Q85" s="3">
        <v>1</v>
      </c>
      <c r="R85" s="3">
        <v>-2</v>
      </c>
      <c r="S85" s="3">
        <v>-2</v>
      </c>
      <c r="T85" s="3">
        <v>-2</v>
      </c>
      <c r="U85" s="3">
        <v>-2</v>
      </c>
      <c r="V85" s="3">
        <v>-1.7</v>
      </c>
      <c r="W85" s="3">
        <v>0.6</v>
      </c>
      <c r="X85" s="3">
        <v>14073</v>
      </c>
      <c r="Y85" s="3">
        <v>1.2</v>
      </c>
      <c r="Z85" s="3">
        <v>0</v>
      </c>
      <c r="CX85" s="9"/>
      <c r="CY85" s="5"/>
      <c r="DA85"/>
      <c r="DC85"/>
      <c r="DD85" s="1"/>
      <c r="DF85" s="1"/>
      <c r="DH85" s="1"/>
      <c r="DJ85" s="1"/>
      <c r="DL85" s="1"/>
      <c r="DN85" s="1"/>
      <c r="DP85" s="1"/>
    </row>
    <row r="86" spans="1:120">
      <c r="A86">
        <v>39104</v>
      </c>
      <c r="B86" s="1" t="s">
        <v>408</v>
      </c>
      <c r="C86" s="1" t="s">
        <v>409</v>
      </c>
      <c r="D86" s="1" t="str">
        <f>VLOOKUP( 6,Squads!A:E,5,0)</f>
        <v>TOT</v>
      </c>
      <c r="E86" s="1" t="str">
        <f>VLOOKUP( 3,$CX$2:$CY$5,2,0)</f>
        <v>MID</v>
      </c>
      <c r="F86" s="8">
        <v>2900000</v>
      </c>
      <c r="G86" s="1" t="s">
        <v>0</v>
      </c>
      <c r="H86" s="1">
        <v>3000000</v>
      </c>
      <c r="I86" s="1">
        <v>3000000</v>
      </c>
      <c r="J86" s="3">
        <v>3000000</v>
      </c>
      <c r="K86" s="3">
        <v>2900000</v>
      </c>
      <c r="L86" s="3">
        <v>3</v>
      </c>
      <c r="M86" s="3">
        <v>3</v>
      </c>
      <c r="N86" s="3">
        <v>0</v>
      </c>
      <c r="O86" s="3">
        <v>108</v>
      </c>
      <c r="P86" s="3">
        <v>139</v>
      </c>
      <c r="Q86" s="3">
        <v>3</v>
      </c>
      <c r="R86" s="3">
        <v>6</v>
      </c>
      <c r="S86" s="3">
        <v>2</v>
      </c>
      <c r="T86" s="3">
        <v>3</v>
      </c>
      <c r="U86" s="3">
        <v>0</v>
      </c>
      <c r="V86" s="3">
        <v>2</v>
      </c>
      <c r="W86" s="3">
        <v>2.2000000000000002</v>
      </c>
      <c r="X86" s="3">
        <v>21720</v>
      </c>
      <c r="Y86" s="3">
        <v>1.9</v>
      </c>
      <c r="Z86" s="3">
        <v>0</v>
      </c>
      <c r="CX86" s="9"/>
      <c r="DA86"/>
      <c r="DC86"/>
      <c r="DD86" s="1"/>
      <c r="DF86" s="1"/>
      <c r="DH86" s="1"/>
      <c r="DJ86" s="1"/>
      <c r="DL86" s="1"/>
      <c r="DN86" s="1"/>
      <c r="DP86" s="1"/>
    </row>
    <row r="87" spans="1:120">
      <c r="A87">
        <v>39155</v>
      </c>
      <c r="B87" s="1" t="s">
        <v>129</v>
      </c>
      <c r="C87" s="1" t="s">
        <v>130</v>
      </c>
      <c r="D87" s="1" t="str">
        <f>VLOOKUP( 14,Squads!A:E,5,0)</f>
        <v>LIV</v>
      </c>
      <c r="E87" s="1" t="str">
        <f>VLOOKUP( 3,$CX$2:$CY$5,2,0)</f>
        <v>MID</v>
      </c>
      <c r="F87" s="8">
        <v>4500000</v>
      </c>
      <c r="G87" s="1" t="s">
        <v>1011</v>
      </c>
      <c r="H87" s="1">
        <v>4500000</v>
      </c>
      <c r="I87" s="1">
        <v>4500000</v>
      </c>
      <c r="J87" s="3">
        <v>4500000</v>
      </c>
      <c r="K87" s="3">
        <v>4500000</v>
      </c>
      <c r="O87" s="3">
        <v>0</v>
      </c>
      <c r="P87" s="3">
        <v>218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>
        <v>0</v>
      </c>
      <c r="X87" s="3">
        <v>10794</v>
      </c>
      <c r="Y87" s="3">
        <v>0.9</v>
      </c>
      <c r="Z87" s="3">
        <v>0</v>
      </c>
      <c r="CX87" s="9"/>
      <c r="DA87"/>
      <c r="DC87"/>
      <c r="DD87" s="1"/>
      <c r="DF87" s="1"/>
      <c r="DH87" s="1"/>
      <c r="DJ87" s="1"/>
      <c r="DL87" s="1"/>
      <c r="DN87" s="1"/>
      <c r="DP87" s="1"/>
    </row>
    <row r="88" spans="1:120">
      <c r="A88">
        <v>39158</v>
      </c>
      <c r="B88" s="1" t="s">
        <v>142</v>
      </c>
      <c r="C88" s="1" t="s">
        <v>342</v>
      </c>
      <c r="D88" s="1" t="str">
        <f>VLOOKUP( 90,Squads!A:E,5,0)</f>
        <v>BUR</v>
      </c>
      <c r="E88" s="1" t="str">
        <f>VLOOKUP( 3,$CX$2:$CY$5,2,0)</f>
        <v>MID</v>
      </c>
      <c r="F88" s="8">
        <v>900000</v>
      </c>
      <c r="G88" s="1" t="s">
        <v>0</v>
      </c>
      <c r="H88" s="1">
        <v>1000000</v>
      </c>
      <c r="I88" s="1">
        <v>1000000</v>
      </c>
      <c r="J88" s="3">
        <v>1000000</v>
      </c>
      <c r="K88" s="3">
        <v>900000</v>
      </c>
      <c r="L88" s="3">
        <v>-1</v>
      </c>
      <c r="M88" s="3">
        <v>0</v>
      </c>
      <c r="N88" s="3">
        <v>0</v>
      </c>
      <c r="O88" s="3">
        <v>108</v>
      </c>
      <c r="P88" s="3">
        <v>342</v>
      </c>
      <c r="Q88" s="3">
        <v>3</v>
      </c>
      <c r="R88" s="3">
        <v>-1</v>
      </c>
      <c r="S88" s="3">
        <v>-0.3</v>
      </c>
      <c r="T88" s="3">
        <v>0</v>
      </c>
      <c r="U88" s="3">
        <v>-1</v>
      </c>
      <c r="V88" s="3">
        <v>-0.3</v>
      </c>
      <c r="W88" s="3">
        <v>-0.2</v>
      </c>
      <c r="X88" s="3">
        <v>817</v>
      </c>
      <c r="Y88" s="3">
        <v>0.1</v>
      </c>
      <c r="Z88" s="3">
        <v>0</v>
      </c>
      <c r="CF88" s="4"/>
      <c r="CX88" s="9"/>
      <c r="DA88"/>
      <c r="DC88"/>
      <c r="DD88" s="1"/>
      <c r="DF88" s="1"/>
      <c r="DH88" s="1"/>
      <c r="DJ88" s="1"/>
      <c r="DL88" s="1"/>
      <c r="DN88" s="1"/>
      <c r="DP88" s="1"/>
    </row>
    <row r="89" spans="1:120">
      <c r="A89">
        <v>39194</v>
      </c>
      <c r="B89" s="1" t="s">
        <v>191</v>
      </c>
      <c r="C89" s="1" t="s">
        <v>192</v>
      </c>
      <c r="D89" s="1" t="str">
        <f>VLOOKUP( 6,Squads!A:E,5,0)</f>
        <v>TOT</v>
      </c>
      <c r="E89" s="1" t="str">
        <f>VLOOKUP( 2,$CX$2:$CY$5,2,0)</f>
        <v>DEF</v>
      </c>
      <c r="F89" s="8">
        <v>5200000</v>
      </c>
      <c r="G89" s="1" t="s">
        <v>0</v>
      </c>
      <c r="H89" s="1">
        <v>5500000</v>
      </c>
      <c r="I89" s="1">
        <v>5500000</v>
      </c>
      <c r="J89" s="3">
        <v>5500000</v>
      </c>
      <c r="K89" s="3">
        <v>5200000</v>
      </c>
      <c r="L89" s="3">
        <v>8</v>
      </c>
      <c r="M89" s="3">
        <v>-2</v>
      </c>
      <c r="N89" s="3">
        <v>0</v>
      </c>
      <c r="O89" s="3">
        <v>108</v>
      </c>
      <c r="P89" s="3">
        <v>139</v>
      </c>
      <c r="Q89" s="3">
        <v>3</v>
      </c>
      <c r="R89" s="3">
        <v>6</v>
      </c>
      <c r="S89" s="3">
        <v>2</v>
      </c>
      <c r="T89" s="3">
        <v>8</v>
      </c>
      <c r="U89" s="3">
        <v>-2</v>
      </c>
      <c r="V89" s="3">
        <v>2</v>
      </c>
      <c r="W89" s="3">
        <v>2.2000000000000002</v>
      </c>
      <c r="X89" s="3">
        <v>84724</v>
      </c>
      <c r="Y89" s="3">
        <v>7.4</v>
      </c>
      <c r="Z89" s="3">
        <v>0</v>
      </c>
      <c r="CP89" s="7"/>
      <c r="CR89" s="6"/>
      <c r="CX89" s="9"/>
      <c r="DA89"/>
      <c r="DC89"/>
      <c r="DD89" s="1"/>
      <c r="DF89" s="1"/>
      <c r="DH89" s="1"/>
      <c r="DJ89" s="1"/>
      <c r="DL89" s="1"/>
      <c r="DN89" s="1"/>
      <c r="DP89" s="1"/>
    </row>
    <row r="90" spans="1:120">
      <c r="A90">
        <v>39215</v>
      </c>
      <c r="B90" s="1" t="s">
        <v>459</v>
      </c>
      <c r="C90" s="1" t="s">
        <v>460</v>
      </c>
      <c r="D90" s="1" t="str">
        <f>VLOOKUP( 6,Squads!A:E,5,0)</f>
        <v>TOT</v>
      </c>
      <c r="E90" s="1" t="str">
        <f>VLOOKUP( 1,$CX$2:$CY$5,2,0)</f>
        <v>GK</v>
      </c>
      <c r="F90" s="8">
        <v>2500000</v>
      </c>
      <c r="G90" s="1" t="s">
        <v>0</v>
      </c>
      <c r="H90" s="1">
        <v>2500000</v>
      </c>
      <c r="I90" s="1">
        <v>2500000</v>
      </c>
      <c r="J90" s="3">
        <v>2500000</v>
      </c>
      <c r="K90" s="3">
        <v>2500000</v>
      </c>
      <c r="O90" s="3">
        <v>0</v>
      </c>
      <c r="P90" s="3">
        <v>218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3.3</v>
      </c>
      <c r="W90" s="3">
        <v>3.4</v>
      </c>
      <c r="X90" s="3">
        <v>563</v>
      </c>
      <c r="Y90" s="3">
        <v>0</v>
      </c>
      <c r="Z90" s="3">
        <v>0</v>
      </c>
      <c r="CP90" s="7"/>
      <c r="CR90" s="6"/>
      <c r="CX90" s="9"/>
      <c r="DA90"/>
      <c r="DC90"/>
      <c r="DD90" s="1"/>
      <c r="DF90" s="1"/>
      <c r="DH90" s="1"/>
      <c r="DJ90" s="1"/>
      <c r="DL90" s="1"/>
      <c r="DN90" s="1"/>
      <c r="DP90" s="1"/>
    </row>
    <row r="91" spans="1:120">
      <c r="A91">
        <v>39487</v>
      </c>
      <c r="B91" s="1" t="s">
        <v>254</v>
      </c>
      <c r="C91" s="1" t="s">
        <v>255</v>
      </c>
      <c r="D91" s="1" t="str">
        <f>VLOOKUP( 110,Squads!A:E,5,0)</f>
        <v>STK</v>
      </c>
      <c r="E91" s="1" t="str">
        <f>VLOOKUP( 2,$CX$2:$CY$5,2,0)</f>
        <v>DEF</v>
      </c>
      <c r="F91" s="8">
        <v>2300000</v>
      </c>
      <c r="G91" s="1" t="s">
        <v>0</v>
      </c>
      <c r="H91" s="1">
        <v>2000000</v>
      </c>
      <c r="I91" s="1">
        <v>2000000</v>
      </c>
      <c r="J91" s="3">
        <v>2000000</v>
      </c>
      <c r="K91" s="3">
        <v>2300000</v>
      </c>
      <c r="L91" s="3">
        <v>3</v>
      </c>
      <c r="M91" s="3">
        <v>17</v>
      </c>
      <c r="N91" s="3">
        <v>-1</v>
      </c>
      <c r="O91" s="3">
        <v>199</v>
      </c>
      <c r="P91" s="3">
        <v>31</v>
      </c>
      <c r="Q91" s="3">
        <v>4</v>
      </c>
      <c r="R91" s="3">
        <v>19</v>
      </c>
      <c r="S91" s="3">
        <v>4.8</v>
      </c>
      <c r="T91" s="3">
        <v>12</v>
      </c>
      <c r="U91" s="3">
        <v>-1</v>
      </c>
      <c r="V91" s="3">
        <v>5.3</v>
      </c>
      <c r="W91" s="3">
        <v>3.2</v>
      </c>
      <c r="X91" s="3">
        <v>32957</v>
      </c>
      <c r="Y91" s="3">
        <v>2.9</v>
      </c>
      <c r="Z91" s="3">
        <v>0</v>
      </c>
      <c r="CP91" s="7"/>
      <c r="CR91" s="6"/>
      <c r="CX91" s="9"/>
      <c r="DA91"/>
      <c r="DC91"/>
      <c r="DD91" s="1"/>
      <c r="DF91" s="1"/>
      <c r="DH91" s="1"/>
      <c r="DJ91" s="1"/>
      <c r="DL91" s="1"/>
      <c r="DN91" s="1"/>
      <c r="DP91" s="1"/>
    </row>
    <row r="92" spans="1:120">
      <c r="A92">
        <v>40002</v>
      </c>
      <c r="B92" s="1" t="s">
        <v>121</v>
      </c>
      <c r="C92" s="1" t="s">
        <v>122</v>
      </c>
      <c r="D92" s="1" t="str">
        <f>VLOOKUP( 1,Squads!A:E,5,0)</f>
        <v>MUN</v>
      </c>
      <c r="E92" s="1" t="str">
        <f>VLOOKUP( 2,$CX$2:$CY$5,2,0)</f>
        <v>DEF</v>
      </c>
      <c r="F92" s="8">
        <v>3000000</v>
      </c>
      <c r="G92" s="1" t="s">
        <v>0</v>
      </c>
      <c r="H92" s="1">
        <v>3000000</v>
      </c>
      <c r="I92" s="1">
        <v>3000000</v>
      </c>
      <c r="J92" s="3">
        <v>3000000</v>
      </c>
      <c r="K92" s="3">
        <v>3000000</v>
      </c>
      <c r="O92" s="3">
        <v>0</v>
      </c>
      <c r="P92" s="3">
        <v>218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7</v>
      </c>
      <c r="W92" s="3">
        <v>7.8</v>
      </c>
      <c r="X92" s="3">
        <v>17592</v>
      </c>
      <c r="Y92" s="3">
        <v>1.5</v>
      </c>
      <c r="Z92" s="3">
        <v>0</v>
      </c>
      <c r="CP92" s="7"/>
      <c r="CR92" s="6"/>
      <c r="CX92" s="9"/>
      <c r="DA92"/>
      <c r="DC92"/>
      <c r="DD92" s="1"/>
      <c r="DF92" s="1"/>
      <c r="DH92" s="1"/>
      <c r="DJ92" s="1"/>
      <c r="DL92" s="1"/>
      <c r="DN92" s="1"/>
      <c r="DP92" s="1"/>
    </row>
    <row r="93" spans="1:120">
      <c r="A93">
        <v>40142</v>
      </c>
      <c r="B93" s="1" t="s">
        <v>146</v>
      </c>
      <c r="C93" s="1" t="s">
        <v>147</v>
      </c>
      <c r="D93" s="1" t="str">
        <f>VLOOKUP( 21,Squads!A:E,5,0)</f>
        <v>WHU</v>
      </c>
      <c r="E93" s="1" t="str">
        <f>VLOOKUP( 4,$CX$2:$CY$5,2,0)</f>
        <v>STR</v>
      </c>
      <c r="F93" s="8">
        <v>3500000</v>
      </c>
      <c r="G93" s="1" t="s">
        <v>1011</v>
      </c>
      <c r="H93" s="1">
        <v>3500000</v>
      </c>
      <c r="I93" s="1">
        <v>3500000</v>
      </c>
      <c r="J93" s="3">
        <v>3500000</v>
      </c>
      <c r="K93" s="3">
        <v>3500000</v>
      </c>
      <c r="O93" s="3">
        <v>0</v>
      </c>
      <c r="P93" s="3">
        <v>218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3">
        <v>1240</v>
      </c>
      <c r="Y93" s="3">
        <v>0.1</v>
      </c>
      <c r="Z93" s="3">
        <v>0</v>
      </c>
      <c r="CP93" s="7"/>
      <c r="CR93" s="6"/>
      <c r="CX93" s="9"/>
      <c r="DA93"/>
      <c r="DC93"/>
      <c r="DD93" s="1"/>
      <c r="DF93" s="1"/>
      <c r="DH93" s="1"/>
      <c r="DJ93" s="1"/>
      <c r="DL93" s="1"/>
      <c r="DN93" s="1"/>
      <c r="DP93" s="1"/>
    </row>
    <row r="94" spans="1:120">
      <c r="A94">
        <v>40145</v>
      </c>
      <c r="B94" s="1" t="s">
        <v>74</v>
      </c>
      <c r="C94" s="1" t="s">
        <v>375</v>
      </c>
      <c r="D94" s="1" t="str">
        <f>VLOOKUP( 90,Squads!A:E,5,0)</f>
        <v>BUR</v>
      </c>
      <c r="E94" s="1" t="str">
        <f>VLOOKUP( 3,$CX$2:$CY$5,2,0)</f>
        <v>MID</v>
      </c>
      <c r="F94" s="8">
        <v>1300000</v>
      </c>
      <c r="G94" s="1" t="s">
        <v>0</v>
      </c>
      <c r="H94" s="1">
        <v>1000000</v>
      </c>
      <c r="I94" s="1">
        <v>1000000</v>
      </c>
      <c r="J94" s="3">
        <v>1000000</v>
      </c>
      <c r="K94" s="3">
        <v>1300000</v>
      </c>
      <c r="L94" s="3">
        <v>2</v>
      </c>
      <c r="M94" s="3">
        <v>10</v>
      </c>
      <c r="N94" s="3">
        <v>3</v>
      </c>
      <c r="O94" s="3">
        <v>71</v>
      </c>
      <c r="P94" s="3">
        <v>50</v>
      </c>
      <c r="Q94" s="3">
        <v>4</v>
      </c>
      <c r="R94" s="3">
        <v>15</v>
      </c>
      <c r="S94" s="3">
        <v>3.8</v>
      </c>
      <c r="T94" s="3">
        <v>10</v>
      </c>
      <c r="U94" s="3">
        <v>0</v>
      </c>
      <c r="V94" s="3">
        <v>4.3</v>
      </c>
      <c r="W94" s="3">
        <v>2.8</v>
      </c>
      <c r="X94" s="3">
        <v>1492</v>
      </c>
      <c r="Y94" s="3">
        <v>0.1</v>
      </c>
      <c r="Z94" s="3">
        <v>0</v>
      </c>
      <c r="CP94" s="7"/>
      <c r="CR94" s="6"/>
      <c r="CX94" s="9"/>
      <c r="DA94"/>
      <c r="DC94"/>
      <c r="DD94" s="1"/>
      <c r="DF94" s="1"/>
      <c r="DH94" s="1"/>
      <c r="DJ94" s="1"/>
      <c r="DL94" s="1"/>
      <c r="DN94" s="1"/>
      <c r="DP94" s="1"/>
    </row>
    <row r="95" spans="1:120">
      <c r="A95">
        <v>40146</v>
      </c>
      <c r="B95" s="1" t="s">
        <v>85</v>
      </c>
      <c r="C95" s="1" t="s">
        <v>100</v>
      </c>
      <c r="D95" s="1" t="str">
        <f>VLOOKUP( 20,Squads!A:E,5,0)</f>
        <v>SOU</v>
      </c>
      <c r="E95" s="1" t="str">
        <f>VLOOKUP( 2,$CX$2:$CY$5,2,0)</f>
        <v>DEF</v>
      </c>
      <c r="F95" s="8">
        <v>4100000</v>
      </c>
      <c r="G95" s="1" t="s">
        <v>0</v>
      </c>
      <c r="H95" s="1">
        <v>4000000</v>
      </c>
      <c r="I95" s="1">
        <v>4000000</v>
      </c>
      <c r="J95" s="3">
        <v>4000000</v>
      </c>
      <c r="K95" s="3">
        <v>4100000</v>
      </c>
      <c r="L95" s="3">
        <v>8</v>
      </c>
      <c r="M95" s="3">
        <v>-1</v>
      </c>
      <c r="N95" s="3">
        <v>5</v>
      </c>
      <c r="O95" s="3">
        <v>48</v>
      </c>
      <c r="P95" s="3">
        <v>71</v>
      </c>
      <c r="Q95" s="3">
        <v>3</v>
      </c>
      <c r="R95" s="3">
        <v>12</v>
      </c>
      <c r="S95" s="3">
        <v>4</v>
      </c>
      <c r="T95" s="3">
        <v>8</v>
      </c>
      <c r="U95" s="3">
        <v>-1</v>
      </c>
      <c r="V95" s="3">
        <v>4</v>
      </c>
      <c r="W95" s="3">
        <v>2.8</v>
      </c>
      <c r="X95" s="3">
        <v>60342</v>
      </c>
      <c r="Y95" s="3">
        <v>5.3</v>
      </c>
      <c r="Z95" s="3">
        <v>0</v>
      </c>
      <c r="CP95" s="7"/>
      <c r="CR95" s="6"/>
      <c r="CX95" s="9"/>
      <c r="DA95"/>
      <c r="DC95"/>
      <c r="DD95" s="1"/>
      <c r="DF95" s="1"/>
      <c r="DH95" s="1"/>
      <c r="DJ95" s="1"/>
      <c r="DL95" s="1"/>
      <c r="DN95" s="1"/>
      <c r="DP95" s="1"/>
    </row>
    <row r="96" spans="1:120">
      <c r="A96">
        <v>40349</v>
      </c>
      <c r="B96" s="1" t="s">
        <v>301</v>
      </c>
      <c r="C96" s="1" t="s">
        <v>302</v>
      </c>
      <c r="D96" s="1" t="str">
        <f>VLOOKUP( 91,Squads!A:E,5,0)</f>
        <v>BOU</v>
      </c>
      <c r="E96" s="1" t="str">
        <f>VLOOKUP( 1,$CX$2:$CY$5,2,0)</f>
        <v>GK</v>
      </c>
      <c r="F96" s="8">
        <v>2400000</v>
      </c>
      <c r="G96" s="1" t="s">
        <v>0</v>
      </c>
      <c r="H96" s="1">
        <v>2500000</v>
      </c>
      <c r="I96" s="1">
        <v>2500000</v>
      </c>
      <c r="J96" s="3">
        <v>2500000</v>
      </c>
      <c r="K96" s="3">
        <v>2400000</v>
      </c>
      <c r="L96" s="3">
        <v>3</v>
      </c>
      <c r="M96" s="3">
        <v>-1</v>
      </c>
      <c r="N96" s="3">
        <v>2</v>
      </c>
      <c r="O96" s="3">
        <v>98</v>
      </c>
      <c r="P96" s="3">
        <v>170</v>
      </c>
      <c r="Q96" s="3">
        <v>3</v>
      </c>
      <c r="R96" s="3">
        <v>4</v>
      </c>
      <c r="S96" s="3">
        <v>1.3</v>
      </c>
      <c r="T96" s="3">
        <v>3</v>
      </c>
      <c r="U96" s="3">
        <v>-1</v>
      </c>
      <c r="V96" s="3">
        <v>1.3</v>
      </c>
      <c r="W96" s="3">
        <v>0.4</v>
      </c>
      <c r="X96" s="3">
        <v>12574</v>
      </c>
      <c r="Y96" s="3">
        <v>1.1000000000000001</v>
      </c>
      <c r="Z96" s="3">
        <v>0</v>
      </c>
      <c r="CP96" s="7"/>
      <c r="CR96" s="6"/>
      <c r="CX96" s="9"/>
      <c r="DA96"/>
      <c r="DC96"/>
      <c r="DD96" s="1"/>
      <c r="DF96" s="1"/>
      <c r="DH96" s="1"/>
      <c r="DJ96" s="1"/>
      <c r="DL96" s="1"/>
      <c r="DN96" s="1"/>
      <c r="DP96" s="1"/>
    </row>
    <row r="97" spans="1:120">
      <c r="A97">
        <v>40383</v>
      </c>
      <c r="B97" s="1" t="s">
        <v>52</v>
      </c>
      <c r="C97" s="1" t="s">
        <v>53</v>
      </c>
      <c r="D97" s="1" t="str">
        <f>VLOOKUP( 20,Squads!A:E,5,0)</f>
        <v>SOU</v>
      </c>
      <c r="E97" s="1" t="str">
        <f>VLOOKUP( 1,$CX$2:$CY$5,2,0)</f>
        <v>GK</v>
      </c>
      <c r="F97" s="8">
        <v>4000000</v>
      </c>
      <c r="G97" s="1" t="s">
        <v>0</v>
      </c>
      <c r="H97" s="1">
        <v>4000000</v>
      </c>
      <c r="I97" s="1">
        <v>4000000</v>
      </c>
      <c r="J97" s="3">
        <v>4000000</v>
      </c>
      <c r="K97" s="3">
        <v>4000000</v>
      </c>
      <c r="L97" s="3">
        <v>5</v>
      </c>
      <c r="M97" s="3">
        <v>-2</v>
      </c>
      <c r="N97" s="3">
        <v>8</v>
      </c>
      <c r="O97" s="3">
        <v>13</v>
      </c>
      <c r="P97" s="3">
        <v>78</v>
      </c>
      <c r="Q97" s="3">
        <v>4</v>
      </c>
      <c r="R97" s="3">
        <v>11</v>
      </c>
      <c r="S97" s="3">
        <v>2.8</v>
      </c>
      <c r="T97" s="3">
        <v>8</v>
      </c>
      <c r="U97" s="3">
        <v>-1</v>
      </c>
      <c r="V97" s="3">
        <v>2</v>
      </c>
      <c r="W97" s="3">
        <v>2.2000000000000002</v>
      </c>
      <c r="X97" s="3">
        <v>26587</v>
      </c>
      <c r="Y97" s="3">
        <v>2.2999999999999998</v>
      </c>
      <c r="Z97" s="3">
        <v>0</v>
      </c>
      <c r="CX97" s="9"/>
      <c r="DA97"/>
      <c r="DC97"/>
      <c r="DD97" s="1"/>
      <c r="DF97" s="1"/>
      <c r="DH97" s="1"/>
      <c r="DJ97" s="1"/>
      <c r="DL97" s="1"/>
      <c r="DN97" s="1"/>
      <c r="DP97" s="1"/>
    </row>
    <row r="98" spans="1:120">
      <c r="A98">
        <v>40387</v>
      </c>
      <c r="B98" s="1" t="s">
        <v>346</v>
      </c>
      <c r="C98" s="1" t="s">
        <v>347</v>
      </c>
      <c r="D98" s="1" t="str">
        <f>VLOOKUP( 91,Squads!A:E,5,0)</f>
        <v>BOU</v>
      </c>
      <c r="E98" s="1" t="str">
        <f>VLOOKUP( 3,$CX$2:$CY$5,2,0)</f>
        <v>MID</v>
      </c>
      <c r="F98" s="8">
        <v>1400000</v>
      </c>
      <c r="G98" s="1" t="s">
        <v>0</v>
      </c>
      <c r="H98" s="1">
        <v>1500000</v>
      </c>
      <c r="I98" s="1">
        <v>1500000</v>
      </c>
      <c r="J98" s="3">
        <v>1500000</v>
      </c>
      <c r="K98" s="3">
        <v>1400000</v>
      </c>
      <c r="M98" s="3">
        <v>0</v>
      </c>
      <c r="N98" s="3">
        <v>0</v>
      </c>
      <c r="O98" s="3">
        <v>108</v>
      </c>
      <c r="P98" s="3">
        <v>218</v>
      </c>
      <c r="Q98" s="3">
        <v>2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-0.2</v>
      </c>
      <c r="X98" s="3">
        <v>406</v>
      </c>
      <c r="Y98" s="3">
        <v>0</v>
      </c>
      <c r="Z98" s="3">
        <v>0</v>
      </c>
      <c r="CX98" s="9"/>
      <c r="DA98"/>
      <c r="DC98"/>
      <c r="DD98" s="1"/>
      <c r="DF98" s="1"/>
      <c r="DH98" s="1"/>
      <c r="DJ98" s="1"/>
      <c r="DL98" s="1"/>
      <c r="DN98" s="1"/>
      <c r="DP98" s="1"/>
    </row>
    <row r="99" spans="1:120">
      <c r="A99">
        <v>40399</v>
      </c>
      <c r="B99" s="1" t="s">
        <v>319</v>
      </c>
      <c r="C99" s="1" t="s">
        <v>320</v>
      </c>
      <c r="D99" s="1" t="str">
        <f>VLOOKUP( 90,Squads!A:E,5,0)</f>
        <v>BUR</v>
      </c>
      <c r="E99" s="1" t="str">
        <f>VLOOKUP( 4,$CX$2:$CY$5,2,0)</f>
        <v>STR</v>
      </c>
      <c r="F99" s="8">
        <v>3200000</v>
      </c>
      <c r="G99" s="1" t="s">
        <v>0</v>
      </c>
      <c r="H99" s="1">
        <v>3000000</v>
      </c>
      <c r="I99" s="1">
        <v>3000000</v>
      </c>
      <c r="J99" s="3">
        <v>3000000</v>
      </c>
      <c r="K99" s="3">
        <v>3200000</v>
      </c>
      <c r="L99" s="3">
        <v>18</v>
      </c>
      <c r="M99" s="3">
        <v>0</v>
      </c>
      <c r="N99" s="3">
        <v>0</v>
      </c>
      <c r="O99" s="3">
        <v>108</v>
      </c>
      <c r="P99" s="3">
        <v>33</v>
      </c>
      <c r="Q99" s="3">
        <v>3</v>
      </c>
      <c r="R99" s="3">
        <v>18</v>
      </c>
      <c r="S99" s="3">
        <v>6</v>
      </c>
      <c r="T99" s="3">
        <v>18</v>
      </c>
      <c r="U99" s="3">
        <v>0</v>
      </c>
      <c r="V99" s="3">
        <v>6</v>
      </c>
      <c r="W99" s="3">
        <v>3.6</v>
      </c>
      <c r="X99" s="3">
        <v>14846</v>
      </c>
      <c r="Y99" s="3">
        <v>1.3</v>
      </c>
      <c r="Z99" s="3">
        <v>0</v>
      </c>
      <c r="CX99" s="9"/>
      <c r="DA99"/>
      <c r="DC99"/>
      <c r="DD99" s="1"/>
      <c r="DF99" s="1"/>
      <c r="DH99" s="1"/>
      <c r="DJ99" s="1"/>
      <c r="DL99" s="1"/>
      <c r="DN99" s="1"/>
      <c r="DP99" s="1"/>
    </row>
    <row r="100" spans="1:120">
      <c r="A100">
        <v>40555</v>
      </c>
      <c r="B100" s="1" t="s">
        <v>82</v>
      </c>
      <c r="C100" s="1" t="s">
        <v>229</v>
      </c>
      <c r="D100" s="1" t="str">
        <f>VLOOKUP( 110,Squads!A:E,5,0)</f>
        <v>STK</v>
      </c>
      <c r="E100" s="1" t="str">
        <f>VLOOKUP( 3,$CX$2:$CY$5,2,0)</f>
        <v>MID</v>
      </c>
      <c r="F100" s="8">
        <v>2300000</v>
      </c>
      <c r="G100" s="1" t="s">
        <v>0</v>
      </c>
      <c r="H100" s="1">
        <v>2000000</v>
      </c>
      <c r="I100" s="1">
        <v>2000000</v>
      </c>
      <c r="J100" s="3">
        <v>2000000</v>
      </c>
      <c r="K100" s="3">
        <v>2300000</v>
      </c>
      <c r="L100" s="3">
        <v>-1</v>
      </c>
      <c r="M100" s="3">
        <v>20</v>
      </c>
      <c r="N100" s="3">
        <v>-1</v>
      </c>
      <c r="O100" s="3">
        <v>199</v>
      </c>
      <c r="P100" s="3">
        <v>33</v>
      </c>
      <c r="Q100" s="3">
        <v>4</v>
      </c>
      <c r="R100" s="3">
        <v>18</v>
      </c>
      <c r="S100" s="3">
        <v>4.5</v>
      </c>
      <c r="T100" s="3">
        <v>20</v>
      </c>
      <c r="U100" s="3">
        <v>-1</v>
      </c>
      <c r="V100" s="3">
        <v>6.3</v>
      </c>
      <c r="W100" s="3">
        <v>4</v>
      </c>
      <c r="X100" s="3">
        <v>13915</v>
      </c>
      <c r="Y100" s="3">
        <v>1.2</v>
      </c>
      <c r="Z100" s="3">
        <v>0</v>
      </c>
      <c r="CX100" s="9"/>
      <c r="DA100"/>
      <c r="DC100"/>
      <c r="DD100" s="1"/>
      <c r="DF100" s="1"/>
      <c r="DH100" s="1"/>
      <c r="DJ100" s="1"/>
      <c r="DL100" s="1"/>
      <c r="DN100" s="1"/>
      <c r="DP100" s="1"/>
    </row>
    <row r="101" spans="1:120">
      <c r="A101">
        <v>40616</v>
      </c>
      <c r="B101" s="1" t="s">
        <v>359</v>
      </c>
      <c r="C101" s="1" t="s">
        <v>291</v>
      </c>
      <c r="D101" s="1" t="str">
        <f>VLOOKUP( 90,Squads!A:E,5,0)</f>
        <v>BUR</v>
      </c>
      <c r="E101" s="1" t="str">
        <f>VLOOKUP( 3,$CX$2:$CY$5,2,0)</f>
        <v>MID</v>
      </c>
      <c r="F101" s="8">
        <v>1600000</v>
      </c>
      <c r="G101" s="1" t="s">
        <v>0</v>
      </c>
      <c r="H101" s="1">
        <v>1500000</v>
      </c>
      <c r="I101" s="1">
        <v>1500000</v>
      </c>
      <c r="J101" s="3">
        <v>1500000</v>
      </c>
      <c r="K101" s="3">
        <v>1600000</v>
      </c>
      <c r="L101" s="3">
        <v>8</v>
      </c>
      <c r="M101" s="3">
        <v>0</v>
      </c>
      <c r="N101" s="3">
        <v>0</v>
      </c>
      <c r="O101" s="3">
        <v>108</v>
      </c>
      <c r="P101" s="3">
        <v>103</v>
      </c>
      <c r="Q101" s="3">
        <v>3</v>
      </c>
      <c r="R101" s="3">
        <v>8</v>
      </c>
      <c r="S101" s="3">
        <v>2.7</v>
      </c>
      <c r="T101" s="3">
        <v>8</v>
      </c>
      <c r="U101" s="3">
        <v>0</v>
      </c>
      <c r="V101" s="3">
        <v>2.7</v>
      </c>
      <c r="W101" s="3">
        <v>2.2000000000000002</v>
      </c>
      <c r="X101" s="3">
        <v>2272</v>
      </c>
      <c r="Y101" s="3">
        <v>0.2</v>
      </c>
      <c r="Z101" s="3">
        <v>0</v>
      </c>
      <c r="CX101" s="9"/>
      <c r="DA101"/>
      <c r="DC101"/>
      <c r="DD101" s="1"/>
      <c r="DF101" s="1"/>
      <c r="DH101" s="1"/>
      <c r="DJ101" s="1"/>
      <c r="DL101" s="1"/>
      <c r="DN101" s="1"/>
      <c r="DP101" s="1"/>
    </row>
    <row r="102" spans="1:120">
      <c r="A102">
        <v>40669</v>
      </c>
      <c r="B102" s="1" t="s">
        <v>410</v>
      </c>
      <c r="C102" s="1" t="s">
        <v>196</v>
      </c>
      <c r="D102" s="1" t="str">
        <f>VLOOKUP( 21,Squads!A:E,5,0)</f>
        <v>WHU</v>
      </c>
      <c r="E102" s="1" t="str">
        <f>VLOOKUP( 2,$CX$2:$CY$5,2,0)</f>
        <v>DEF</v>
      </c>
      <c r="F102" s="8">
        <v>1400000</v>
      </c>
      <c r="G102" s="1" t="s">
        <v>0</v>
      </c>
      <c r="H102" s="1">
        <v>1500000</v>
      </c>
      <c r="I102" s="1">
        <v>1500000</v>
      </c>
      <c r="J102" s="3">
        <v>1500000</v>
      </c>
      <c r="K102" s="3">
        <v>1400000</v>
      </c>
      <c r="L102" s="3">
        <v>-4</v>
      </c>
      <c r="M102" s="3">
        <v>6</v>
      </c>
      <c r="N102" s="3">
        <v>-2</v>
      </c>
      <c r="O102" s="3">
        <v>226</v>
      </c>
      <c r="P102" s="3">
        <v>218</v>
      </c>
      <c r="Q102" s="3">
        <v>4</v>
      </c>
      <c r="R102" s="3">
        <v>0</v>
      </c>
      <c r="S102" s="3">
        <v>0</v>
      </c>
      <c r="T102" s="3">
        <v>8</v>
      </c>
      <c r="U102" s="3">
        <v>-4</v>
      </c>
      <c r="V102" s="3">
        <v>1.3</v>
      </c>
      <c r="W102" s="3">
        <v>-0.4</v>
      </c>
      <c r="X102" s="3">
        <v>86763</v>
      </c>
      <c r="Y102" s="3">
        <v>7.6</v>
      </c>
      <c r="Z102" s="3">
        <v>0</v>
      </c>
      <c r="CX102" s="9"/>
      <c r="DA102"/>
      <c r="DC102"/>
      <c r="DD102" s="1"/>
      <c r="DF102" s="1"/>
      <c r="DH102" s="1"/>
      <c r="DJ102" s="1"/>
      <c r="DL102" s="1"/>
      <c r="DN102" s="1"/>
      <c r="DP102" s="1"/>
    </row>
    <row r="103" spans="1:120">
      <c r="A103">
        <v>40725</v>
      </c>
      <c r="B103" s="1" t="s">
        <v>60</v>
      </c>
      <c r="C103" s="1" t="s">
        <v>197</v>
      </c>
      <c r="D103" s="1" t="str">
        <f>VLOOKUP( 13,Squads!A:E,5,0)</f>
        <v>LEI</v>
      </c>
      <c r="E103" s="1" t="str">
        <f>VLOOKUP( 2,$CX$2:$CY$5,2,0)</f>
        <v>DEF</v>
      </c>
      <c r="F103" s="8">
        <v>2500000</v>
      </c>
      <c r="G103" s="1" t="s">
        <v>0</v>
      </c>
      <c r="H103" s="1">
        <v>2500000</v>
      </c>
      <c r="I103" s="1">
        <v>2500000</v>
      </c>
      <c r="J103" s="3">
        <v>2500000</v>
      </c>
      <c r="K103" s="3">
        <v>2500000</v>
      </c>
      <c r="L103" s="3">
        <v>-3</v>
      </c>
      <c r="M103" s="3">
        <v>8</v>
      </c>
      <c r="N103" s="3">
        <v>-1</v>
      </c>
      <c r="O103" s="3">
        <v>199</v>
      </c>
      <c r="P103" s="3">
        <v>170</v>
      </c>
      <c r="Q103" s="3">
        <v>3</v>
      </c>
      <c r="R103" s="3">
        <v>4</v>
      </c>
      <c r="S103" s="3">
        <v>1.3</v>
      </c>
      <c r="T103" s="3">
        <v>8</v>
      </c>
      <c r="U103" s="3">
        <v>-3</v>
      </c>
      <c r="V103" s="3">
        <v>1.3</v>
      </c>
      <c r="W103" s="3">
        <v>1.8</v>
      </c>
      <c r="X103" s="3">
        <v>9112</v>
      </c>
      <c r="Y103" s="3">
        <v>0.8</v>
      </c>
      <c r="Z103" s="3">
        <v>0</v>
      </c>
      <c r="CX103" s="9"/>
      <c r="DA103"/>
      <c r="DC103"/>
      <c r="DD103" s="1"/>
      <c r="DF103" s="1"/>
      <c r="DH103" s="1"/>
      <c r="DJ103" s="1"/>
      <c r="DL103" s="1"/>
      <c r="DN103" s="1"/>
      <c r="DP103" s="1"/>
    </row>
    <row r="104" spans="1:120">
      <c r="A104">
        <v>40755</v>
      </c>
      <c r="B104" s="1" t="s">
        <v>48</v>
      </c>
      <c r="C104" s="1" t="s">
        <v>49</v>
      </c>
      <c r="D104" s="1" t="str">
        <f>VLOOKUP( 14,Squads!A:E,5,0)</f>
        <v>LIV</v>
      </c>
      <c r="E104" s="1" t="str">
        <f>VLOOKUP( 4,$CX$2:$CY$5,2,0)</f>
        <v>STR</v>
      </c>
      <c r="F104" s="8">
        <v>3200000</v>
      </c>
      <c r="G104" s="1" t="s">
        <v>0</v>
      </c>
      <c r="H104" s="1">
        <v>3000000</v>
      </c>
      <c r="I104" s="1">
        <v>3000000</v>
      </c>
      <c r="J104" s="3">
        <v>3000000</v>
      </c>
      <c r="K104" s="3">
        <v>3200000</v>
      </c>
      <c r="M104" s="3">
        <v>0</v>
      </c>
      <c r="N104" s="3">
        <v>8</v>
      </c>
      <c r="O104" s="3">
        <v>13</v>
      </c>
      <c r="P104" s="3">
        <v>103</v>
      </c>
      <c r="Q104" s="3">
        <v>2</v>
      </c>
      <c r="R104" s="3">
        <v>8</v>
      </c>
      <c r="S104" s="3">
        <v>4</v>
      </c>
      <c r="T104" s="3">
        <v>8</v>
      </c>
      <c r="U104" s="3">
        <v>0</v>
      </c>
      <c r="V104" s="3">
        <v>2.2999999999999998</v>
      </c>
      <c r="W104" s="3">
        <v>4</v>
      </c>
      <c r="X104" s="3">
        <v>5614</v>
      </c>
      <c r="Y104" s="3">
        <v>0.5</v>
      </c>
      <c r="Z104" s="3">
        <v>0</v>
      </c>
      <c r="CX104" s="9"/>
      <c r="DA104"/>
      <c r="DC104"/>
      <c r="DD104" s="1"/>
      <c r="DF104" s="1"/>
      <c r="DH104" s="1"/>
      <c r="DJ104" s="1"/>
      <c r="DL104" s="1"/>
      <c r="DN104" s="1"/>
      <c r="DP104" s="1"/>
    </row>
    <row r="105" spans="1:120">
      <c r="A105">
        <v>40833</v>
      </c>
      <c r="B105" s="1" t="s">
        <v>1003</v>
      </c>
      <c r="C105" s="1" t="s">
        <v>1012</v>
      </c>
      <c r="D105" s="1" t="str">
        <f>VLOOKUP( 20,Squads!A:E,5,0)</f>
        <v>SOU</v>
      </c>
      <c r="E105" s="1" t="str">
        <f>VLOOKUP( 2,$CX$2:$CY$5,2,0)</f>
        <v>DEF</v>
      </c>
      <c r="F105" s="8">
        <v>2500000</v>
      </c>
      <c r="G105" s="1" t="s">
        <v>0</v>
      </c>
      <c r="H105" s="1">
        <v>2500000</v>
      </c>
      <c r="I105" s="1">
        <v>2500000</v>
      </c>
      <c r="J105" s="3">
        <v>2500000</v>
      </c>
      <c r="K105" s="3">
        <v>2500000</v>
      </c>
      <c r="M105" s="3">
        <v>-1</v>
      </c>
      <c r="O105" s="3">
        <v>0</v>
      </c>
      <c r="P105" s="3">
        <v>342</v>
      </c>
      <c r="Q105" s="3">
        <v>1</v>
      </c>
      <c r="R105" s="3">
        <v>-1</v>
      </c>
      <c r="S105" s="3">
        <v>-1</v>
      </c>
      <c r="T105" s="3">
        <v>-1</v>
      </c>
      <c r="U105" s="3">
        <v>-1</v>
      </c>
      <c r="V105" s="3">
        <v>-0.3</v>
      </c>
      <c r="W105" s="3">
        <v>1.4</v>
      </c>
      <c r="X105" s="3">
        <v>273</v>
      </c>
      <c r="Y105" s="3">
        <v>0</v>
      </c>
      <c r="Z105" s="3">
        <v>0</v>
      </c>
      <c r="CX105" s="9"/>
      <c r="DA105"/>
      <c r="DC105"/>
      <c r="DD105" s="1"/>
      <c r="DF105" s="1"/>
      <c r="DH105" s="1"/>
      <c r="DJ105" s="1"/>
      <c r="DL105" s="1"/>
      <c r="DN105" s="1"/>
      <c r="DP105" s="1"/>
    </row>
    <row r="106" spans="1:120">
      <c r="A106">
        <v>40845</v>
      </c>
      <c r="B106" s="1" t="s">
        <v>464</v>
      </c>
      <c r="C106" s="1" t="s">
        <v>745</v>
      </c>
      <c r="D106" s="1" t="str">
        <f>VLOOKUP( 36,Squads!A:E,5,0)</f>
        <v>BHA</v>
      </c>
      <c r="E106" s="1" t="str">
        <f>VLOOKUP( 3,$CX$2:$CY$5,2,0)</f>
        <v>MID</v>
      </c>
      <c r="F106" s="8">
        <v>1800000</v>
      </c>
      <c r="G106" s="1" t="s">
        <v>0</v>
      </c>
      <c r="H106" s="1">
        <v>2000000</v>
      </c>
      <c r="I106" s="1">
        <v>2000000</v>
      </c>
      <c r="J106" s="3">
        <v>2000000</v>
      </c>
      <c r="K106" s="3">
        <v>1800000</v>
      </c>
      <c r="L106" s="3">
        <v>0</v>
      </c>
      <c r="M106" s="3">
        <v>0</v>
      </c>
      <c r="N106" s="3">
        <v>0</v>
      </c>
      <c r="O106" s="3">
        <v>108</v>
      </c>
      <c r="P106" s="3">
        <v>218</v>
      </c>
      <c r="Q106" s="3">
        <v>3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484</v>
      </c>
      <c r="Y106" s="3">
        <v>0</v>
      </c>
      <c r="Z106" s="3">
        <v>0</v>
      </c>
      <c r="CX106" s="9"/>
      <c r="DA106"/>
      <c r="DC106"/>
      <c r="DD106" s="1"/>
      <c r="DF106" s="1"/>
      <c r="DH106" s="1"/>
      <c r="DJ106" s="1"/>
      <c r="DL106" s="1"/>
      <c r="DN106" s="1"/>
      <c r="DP106" s="1"/>
    </row>
    <row r="107" spans="1:120">
      <c r="A107">
        <v>40868</v>
      </c>
      <c r="B107" s="1" t="s">
        <v>46</v>
      </c>
      <c r="C107" s="1" t="s">
        <v>383</v>
      </c>
      <c r="D107" s="1" t="str">
        <f>VLOOKUP( 57,Squads!A:E,5,0)</f>
        <v>WAT</v>
      </c>
      <c r="E107" s="1" t="str">
        <f>VLOOKUP( 2,$CX$2:$CY$5,2,0)</f>
        <v>DEF</v>
      </c>
      <c r="F107" s="8">
        <v>2000000</v>
      </c>
      <c r="G107" s="1" t="s">
        <v>978</v>
      </c>
      <c r="H107" s="1">
        <v>2000000</v>
      </c>
      <c r="I107" s="1">
        <v>2000000</v>
      </c>
      <c r="J107" s="3">
        <v>2000000</v>
      </c>
      <c r="K107" s="3">
        <v>2000000</v>
      </c>
      <c r="L107" s="3">
        <v>3</v>
      </c>
      <c r="M107" s="3">
        <v>3</v>
      </c>
      <c r="O107" s="3">
        <v>0</v>
      </c>
      <c r="P107" s="3">
        <v>139</v>
      </c>
      <c r="Q107" s="3">
        <v>3</v>
      </c>
      <c r="R107" s="3">
        <v>6</v>
      </c>
      <c r="S107" s="3">
        <v>2</v>
      </c>
      <c r="T107" s="3">
        <v>8</v>
      </c>
      <c r="U107" s="3">
        <v>-5</v>
      </c>
      <c r="V107" s="3">
        <v>2</v>
      </c>
      <c r="W107" s="3">
        <v>0</v>
      </c>
      <c r="X107" s="3">
        <v>5214</v>
      </c>
      <c r="Y107" s="3">
        <v>0.5</v>
      </c>
      <c r="Z107" s="3">
        <v>0</v>
      </c>
      <c r="CX107" s="9"/>
      <c r="DA107"/>
      <c r="DC107"/>
      <c r="DD107" s="1"/>
      <c r="DF107" s="1"/>
      <c r="DH107" s="1"/>
      <c r="DJ107" s="1"/>
      <c r="DL107" s="1"/>
      <c r="DN107" s="1"/>
      <c r="DP107" s="1"/>
    </row>
    <row r="108" spans="1:120">
      <c r="A108">
        <v>41184</v>
      </c>
      <c r="B108" s="1" t="s">
        <v>249</v>
      </c>
      <c r="C108" s="1" t="s">
        <v>250</v>
      </c>
      <c r="D108" s="1" t="str">
        <f>VLOOKUP( 1,Squads!A:E,5,0)</f>
        <v>MUN</v>
      </c>
      <c r="E108" s="1" t="str">
        <f>VLOOKUP( 3,$CX$2:$CY$5,2,0)</f>
        <v>MID</v>
      </c>
      <c r="F108" s="8">
        <v>3100000</v>
      </c>
      <c r="G108" s="1" t="s">
        <v>0</v>
      </c>
      <c r="H108" s="1">
        <v>3000000</v>
      </c>
      <c r="I108" s="1">
        <v>3000000</v>
      </c>
      <c r="J108" s="3">
        <v>3000000</v>
      </c>
      <c r="K108" s="3">
        <v>3100000</v>
      </c>
      <c r="L108" s="3">
        <v>0</v>
      </c>
      <c r="M108" s="3">
        <v>0</v>
      </c>
      <c r="N108" s="3">
        <v>8</v>
      </c>
      <c r="O108" s="3">
        <v>13</v>
      </c>
      <c r="P108" s="3">
        <v>103</v>
      </c>
      <c r="Q108" s="3">
        <v>3</v>
      </c>
      <c r="R108" s="3">
        <v>8</v>
      </c>
      <c r="S108" s="3">
        <v>2.7</v>
      </c>
      <c r="T108" s="3">
        <v>8</v>
      </c>
      <c r="U108" s="3">
        <v>0</v>
      </c>
      <c r="V108" s="3">
        <v>2.7</v>
      </c>
      <c r="W108" s="3">
        <v>2.2000000000000002</v>
      </c>
      <c r="X108" s="3">
        <v>4618</v>
      </c>
      <c r="Y108" s="3">
        <v>0.4</v>
      </c>
      <c r="Z108" s="3">
        <v>0</v>
      </c>
      <c r="CX108" s="9"/>
      <c r="DA108"/>
      <c r="DC108"/>
      <c r="DD108" s="1"/>
      <c r="DF108" s="1"/>
      <c r="DH108" s="1"/>
      <c r="DJ108" s="1"/>
      <c r="DL108" s="1"/>
      <c r="DN108" s="1"/>
      <c r="DP108" s="1"/>
    </row>
    <row r="109" spans="1:120">
      <c r="A109">
        <v>41270</v>
      </c>
      <c r="B109" s="1" t="s">
        <v>3</v>
      </c>
      <c r="C109" s="1" t="s">
        <v>469</v>
      </c>
      <c r="D109" s="1" t="str">
        <f>VLOOKUP( 8,Squads!A:E,5,0)</f>
        <v>CHE</v>
      </c>
      <c r="E109" s="1" t="str">
        <f>VLOOKUP( 2,$CX$2:$CY$5,2,0)</f>
        <v>DEF</v>
      </c>
      <c r="F109" s="8">
        <v>4900000</v>
      </c>
      <c r="G109" s="1" t="s">
        <v>0</v>
      </c>
      <c r="H109" s="1">
        <v>5000000</v>
      </c>
      <c r="I109" s="1">
        <v>5000000</v>
      </c>
      <c r="J109" s="3">
        <v>5000000</v>
      </c>
      <c r="K109" s="3">
        <v>4900000</v>
      </c>
      <c r="L109" s="3">
        <v>2</v>
      </c>
      <c r="M109" s="3">
        <v>-1</v>
      </c>
      <c r="N109" s="3">
        <v>8</v>
      </c>
      <c r="O109" s="3">
        <v>13</v>
      </c>
      <c r="P109" s="3">
        <v>95</v>
      </c>
      <c r="Q109" s="3">
        <v>3</v>
      </c>
      <c r="R109" s="3">
        <v>9</v>
      </c>
      <c r="S109" s="3">
        <v>3</v>
      </c>
      <c r="T109" s="3">
        <v>8</v>
      </c>
      <c r="U109" s="3">
        <v>-1</v>
      </c>
      <c r="V109" s="3">
        <v>3</v>
      </c>
      <c r="W109" s="3">
        <v>3.2</v>
      </c>
      <c r="X109" s="3">
        <v>134092</v>
      </c>
      <c r="Y109" s="3">
        <v>11.8</v>
      </c>
      <c r="Z109" s="3">
        <v>0</v>
      </c>
      <c r="CX109" s="9"/>
      <c r="DA109"/>
      <c r="DC109"/>
      <c r="DD109" s="1"/>
      <c r="DF109" s="1"/>
      <c r="DH109" s="1"/>
      <c r="DJ109" s="1"/>
      <c r="DL109" s="1"/>
      <c r="DN109" s="1"/>
      <c r="DP109" s="1"/>
    </row>
    <row r="110" spans="1:120">
      <c r="A110">
        <v>41320</v>
      </c>
      <c r="B110" s="1" t="s">
        <v>244</v>
      </c>
      <c r="C110" s="1" t="s">
        <v>245</v>
      </c>
      <c r="D110" s="1" t="str">
        <f>VLOOKUP( 91,Squads!A:E,5,0)</f>
        <v>BOU</v>
      </c>
      <c r="E110" s="1" t="str">
        <f>VLOOKUP( 2,$CX$2:$CY$5,2,0)</f>
        <v>DEF</v>
      </c>
      <c r="F110" s="8">
        <v>2600000</v>
      </c>
      <c r="G110" s="1" t="s">
        <v>0</v>
      </c>
      <c r="H110" s="1">
        <v>2500000</v>
      </c>
      <c r="I110" s="1">
        <v>2500000</v>
      </c>
      <c r="J110" s="3">
        <v>2500000</v>
      </c>
      <c r="K110" s="3">
        <v>2600000</v>
      </c>
      <c r="L110" s="3">
        <v>0</v>
      </c>
      <c r="M110" s="3">
        <v>-1</v>
      </c>
      <c r="N110" s="3">
        <v>7</v>
      </c>
      <c r="O110" s="3">
        <v>45</v>
      </c>
      <c r="P110" s="3">
        <v>139</v>
      </c>
      <c r="Q110" s="3">
        <v>3</v>
      </c>
      <c r="R110" s="3">
        <v>6</v>
      </c>
      <c r="S110" s="3">
        <v>2</v>
      </c>
      <c r="T110" s="3">
        <v>7</v>
      </c>
      <c r="U110" s="3">
        <v>-1</v>
      </c>
      <c r="V110" s="3">
        <v>2</v>
      </c>
      <c r="W110" s="3">
        <v>0.4</v>
      </c>
      <c r="X110" s="3">
        <v>33813</v>
      </c>
      <c r="Y110" s="3">
        <v>3</v>
      </c>
      <c r="Z110" s="3">
        <v>0</v>
      </c>
      <c r="CX110" s="9"/>
      <c r="DA110"/>
      <c r="DC110"/>
      <c r="DD110" s="1"/>
      <c r="DF110" s="1"/>
      <c r="DH110" s="1"/>
      <c r="DJ110" s="1"/>
      <c r="DL110" s="1"/>
      <c r="DN110" s="1"/>
      <c r="DP110" s="1"/>
    </row>
    <row r="111" spans="1:120">
      <c r="A111">
        <v>41328</v>
      </c>
      <c r="B111" s="1" t="s">
        <v>133</v>
      </c>
      <c r="C111" s="1" t="s">
        <v>134</v>
      </c>
      <c r="D111" s="1" t="str">
        <f>VLOOKUP( 8,Squads!A:E,5,0)</f>
        <v>CHE</v>
      </c>
      <c r="E111" s="1" t="str">
        <f>VLOOKUP( 2,$CX$2:$CY$5,2,0)</f>
        <v>DEF</v>
      </c>
      <c r="F111" s="8">
        <v>5000000</v>
      </c>
      <c r="G111" s="1" t="s">
        <v>0</v>
      </c>
      <c r="H111" s="1">
        <v>5000000</v>
      </c>
      <c r="I111" s="1">
        <v>5000000</v>
      </c>
      <c r="J111" s="3">
        <v>5000000</v>
      </c>
      <c r="K111" s="3">
        <v>5000000</v>
      </c>
      <c r="L111" s="3">
        <v>-2</v>
      </c>
      <c r="M111" s="3">
        <v>3</v>
      </c>
      <c r="N111" s="3">
        <v>9</v>
      </c>
      <c r="O111" s="3">
        <v>11</v>
      </c>
      <c r="P111" s="3">
        <v>87</v>
      </c>
      <c r="Q111" s="3">
        <v>3</v>
      </c>
      <c r="R111" s="3">
        <v>10</v>
      </c>
      <c r="S111" s="3">
        <v>3.3</v>
      </c>
      <c r="T111" s="3">
        <v>9</v>
      </c>
      <c r="U111" s="3">
        <v>-2</v>
      </c>
      <c r="V111" s="3">
        <v>3.3</v>
      </c>
      <c r="W111" s="3">
        <v>2.6</v>
      </c>
      <c r="X111" s="3">
        <v>165153</v>
      </c>
      <c r="Y111" s="3">
        <v>14.5</v>
      </c>
      <c r="Z111" s="3">
        <v>0</v>
      </c>
      <c r="CX111" s="9"/>
      <c r="DA111"/>
      <c r="DC111"/>
      <c r="DD111" s="1"/>
      <c r="DF111" s="1"/>
      <c r="DH111" s="1"/>
      <c r="DJ111" s="1"/>
      <c r="DL111" s="1"/>
      <c r="DN111" s="1"/>
      <c r="DP111" s="1"/>
    </row>
    <row r="112" spans="1:120">
      <c r="A112">
        <v>41464</v>
      </c>
      <c r="B112" s="1" t="s">
        <v>140</v>
      </c>
      <c r="C112" s="1" t="s">
        <v>141</v>
      </c>
      <c r="D112" s="1" t="str">
        <f>VLOOKUP( 21,Squads!A:E,5,0)</f>
        <v>WHU</v>
      </c>
      <c r="E112" s="1" t="str">
        <f>VLOOKUP( 3,$CX$2:$CY$5,2,0)</f>
        <v>MID</v>
      </c>
      <c r="F112" s="8">
        <v>3000000</v>
      </c>
      <c r="G112" s="1" t="s">
        <v>978</v>
      </c>
      <c r="H112" s="1">
        <v>3000000</v>
      </c>
      <c r="I112" s="1">
        <v>3000000</v>
      </c>
      <c r="J112" s="3">
        <v>3000000</v>
      </c>
      <c r="K112" s="3">
        <v>3000000</v>
      </c>
      <c r="L112" s="3">
        <v>0</v>
      </c>
      <c r="M112" s="3">
        <v>-3</v>
      </c>
      <c r="O112" s="3">
        <v>0</v>
      </c>
      <c r="P112" s="3">
        <v>364</v>
      </c>
      <c r="Q112" s="3">
        <v>2</v>
      </c>
      <c r="R112" s="3">
        <v>-3</v>
      </c>
      <c r="S112" s="3">
        <v>-1.5</v>
      </c>
      <c r="T112" s="3">
        <v>0</v>
      </c>
      <c r="U112" s="3">
        <v>-3</v>
      </c>
      <c r="V112" s="3">
        <v>0</v>
      </c>
      <c r="W112" s="3">
        <v>0</v>
      </c>
      <c r="X112" s="3">
        <v>15112</v>
      </c>
      <c r="Y112" s="3">
        <v>1.3</v>
      </c>
      <c r="Z112" s="3">
        <v>0</v>
      </c>
      <c r="CX112" s="9"/>
      <c r="DA112"/>
      <c r="DC112"/>
      <c r="DD112" s="1"/>
      <c r="DF112" s="1"/>
      <c r="DH112" s="1"/>
      <c r="DJ112" s="1"/>
      <c r="DL112" s="1"/>
      <c r="DN112" s="1"/>
      <c r="DP112" s="1"/>
    </row>
    <row r="113" spans="1:120">
      <c r="A113">
        <v>41725</v>
      </c>
      <c r="B113" s="1" t="s">
        <v>164</v>
      </c>
      <c r="C113" s="1" t="s">
        <v>165</v>
      </c>
      <c r="D113" s="1" t="str">
        <f>VLOOKUP( 57,Squads!A:E,5,0)</f>
        <v>WAT</v>
      </c>
      <c r="E113" s="1" t="str">
        <f>VLOOKUP( 4,$CX$2:$CY$5,2,0)</f>
        <v>STR</v>
      </c>
      <c r="F113" s="8">
        <v>2800000</v>
      </c>
      <c r="G113" s="1" t="s">
        <v>0</v>
      </c>
      <c r="H113" s="1">
        <v>3000000</v>
      </c>
      <c r="I113" s="1">
        <v>3000000</v>
      </c>
      <c r="J113" s="3">
        <v>3000000</v>
      </c>
      <c r="K113" s="3">
        <v>2800000</v>
      </c>
      <c r="M113" s="3">
        <v>0</v>
      </c>
      <c r="N113" s="3">
        <v>0</v>
      </c>
      <c r="O113" s="3">
        <v>108</v>
      </c>
      <c r="P113" s="3">
        <v>218</v>
      </c>
      <c r="Q113" s="3">
        <v>2</v>
      </c>
      <c r="R113" s="3">
        <v>0</v>
      </c>
      <c r="S113" s="3">
        <v>0</v>
      </c>
      <c r="T113" s="3">
        <v>0</v>
      </c>
      <c r="U113" s="3">
        <v>0</v>
      </c>
      <c r="V113" s="3">
        <v>1.3</v>
      </c>
      <c r="W113" s="3">
        <v>2.8</v>
      </c>
      <c r="X113" s="3">
        <v>1840</v>
      </c>
      <c r="Y113" s="3">
        <v>0.2</v>
      </c>
      <c r="Z113" s="3">
        <v>0</v>
      </c>
      <c r="CX113" s="9"/>
      <c r="DA113"/>
      <c r="DC113"/>
      <c r="DD113" s="1"/>
      <c r="DF113" s="1"/>
      <c r="DH113" s="1"/>
      <c r="DJ113" s="1"/>
      <c r="DL113" s="1"/>
      <c r="DN113" s="1"/>
      <c r="DP113" s="1"/>
    </row>
    <row r="114" spans="1:120">
      <c r="A114">
        <v>41733</v>
      </c>
      <c r="B114" s="1" t="s">
        <v>411</v>
      </c>
      <c r="C114" s="1" t="s">
        <v>412</v>
      </c>
      <c r="D114" s="1" t="str">
        <f>VLOOKUP( 14,Squads!A:E,5,0)</f>
        <v>LIV</v>
      </c>
      <c r="E114" s="1" t="str">
        <f>VLOOKUP( 3,$CX$2:$CY$5,2,0)</f>
        <v>MID</v>
      </c>
      <c r="F114" s="8">
        <v>3800000</v>
      </c>
      <c r="G114" s="1" t="s">
        <v>0</v>
      </c>
      <c r="H114" s="1">
        <v>4000000</v>
      </c>
      <c r="I114" s="1">
        <v>4000000</v>
      </c>
      <c r="J114" s="3">
        <v>4000000</v>
      </c>
      <c r="K114" s="3">
        <v>3800000</v>
      </c>
      <c r="L114" s="3">
        <v>0</v>
      </c>
      <c r="M114" s="3">
        <v>3</v>
      </c>
      <c r="N114" s="3">
        <v>3</v>
      </c>
      <c r="O114" s="3">
        <v>71</v>
      </c>
      <c r="P114" s="3">
        <v>139</v>
      </c>
      <c r="Q114" s="3">
        <v>5</v>
      </c>
      <c r="R114" s="3">
        <v>6</v>
      </c>
      <c r="S114" s="3">
        <v>1.2</v>
      </c>
      <c r="T114" s="3">
        <v>3</v>
      </c>
      <c r="U114" s="3">
        <v>0</v>
      </c>
      <c r="V114" s="3">
        <v>2</v>
      </c>
      <c r="W114" s="3">
        <v>1.2</v>
      </c>
      <c r="X114" s="3">
        <v>12137</v>
      </c>
      <c r="Y114" s="3">
        <v>1.1000000000000001</v>
      </c>
      <c r="Z114" s="3">
        <v>0</v>
      </c>
      <c r="CX114" s="9"/>
      <c r="DA114"/>
      <c r="DC114"/>
      <c r="DD114" s="1"/>
      <c r="DF114" s="1"/>
      <c r="DH114" s="1"/>
      <c r="DJ114" s="1"/>
      <c r="DL114" s="1"/>
      <c r="DN114" s="1"/>
      <c r="DP114" s="1"/>
    </row>
    <row r="115" spans="1:120">
      <c r="A115">
        <v>41792</v>
      </c>
      <c r="B115" s="1" t="s">
        <v>22</v>
      </c>
      <c r="C115" s="1" t="s">
        <v>73</v>
      </c>
      <c r="D115" s="1" t="str">
        <f>VLOOKUP( 3,Squads!A:E,5,0)</f>
        <v>ARS</v>
      </c>
      <c r="E115" s="1" t="str">
        <f>VLOOKUP( 3,$CX$2:$CY$5,2,0)</f>
        <v>MID</v>
      </c>
      <c r="F115" s="8">
        <v>3900000</v>
      </c>
      <c r="G115" s="1" t="s">
        <v>0</v>
      </c>
      <c r="H115" s="1">
        <v>4000000</v>
      </c>
      <c r="I115" s="1">
        <v>4000000</v>
      </c>
      <c r="J115" s="3">
        <v>4000000</v>
      </c>
      <c r="K115" s="3">
        <v>3900000</v>
      </c>
      <c r="L115" s="3">
        <v>8</v>
      </c>
      <c r="M115" s="3">
        <v>0</v>
      </c>
      <c r="N115" s="3">
        <v>0</v>
      </c>
      <c r="O115" s="3">
        <v>108</v>
      </c>
      <c r="P115" s="3">
        <v>103</v>
      </c>
      <c r="Q115" s="3">
        <v>3</v>
      </c>
      <c r="R115" s="3">
        <v>8</v>
      </c>
      <c r="S115" s="3">
        <v>2.7</v>
      </c>
      <c r="T115" s="3">
        <v>8</v>
      </c>
      <c r="U115" s="3">
        <v>0</v>
      </c>
      <c r="V115" s="3">
        <v>2.7</v>
      </c>
      <c r="W115" s="3">
        <v>2.2000000000000002</v>
      </c>
      <c r="X115" s="3">
        <v>29255</v>
      </c>
      <c r="Y115" s="3">
        <v>2.6</v>
      </c>
      <c r="Z115" s="3">
        <v>0</v>
      </c>
      <c r="CX115" s="9"/>
      <c r="DA115"/>
      <c r="DC115"/>
      <c r="DD115" s="1"/>
      <c r="DF115" s="1"/>
      <c r="DH115" s="1"/>
      <c r="DJ115" s="1"/>
      <c r="DL115" s="1"/>
      <c r="DN115" s="1"/>
      <c r="DP115" s="1"/>
    </row>
    <row r="116" spans="1:120">
      <c r="A116">
        <v>41823</v>
      </c>
      <c r="B116" s="1" t="s">
        <v>355</v>
      </c>
      <c r="C116" s="1" t="s">
        <v>356</v>
      </c>
      <c r="D116" s="1" t="str">
        <f>VLOOKUP( 43,Squads!A:E,5,0)</f>
        <v>MCI</v>
      </c>
      <c r="E116" s="1" t="str">
        <f>VLOOKUP( 3,$CX$2:$CY$5,2,0)</f>
        <v>MID</v>
      </c>
      <c r="F116" s="8">
        <v>2000000</v>
      </c>
      <c r="G116" s="1" t="s">
        <v>1011</v>
      </c>
      <c r="H116" s="1">
        <v>2000000</v>
      </c>
      <c r="I116" s="1">
        <v>2000000</v>
      </c>
      <c r="J116" s="3">
        <v>2000000</v>
      </c>
      <c r="K116" s="3">
        <v>2000000</v>
      </c>
      <c r="O116" s="3">
        <v>0</v>
      </c>
      <c r="P116" s="3">
        <v>218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0.7</v>
      </c>
      <c r="W116" s="3">
        <v>2</v>
      </c>
      <c r="X116" s="3">
        <v>486</v>
      </c>
      <c r="Y116" s="3">
        <v>0</v>
      </c>
      <c r="Z116" s="3">
        <v>0</v>
      </c>
      <c r="CX116" s="9"/>
      <c r="DA116"/>
      <c r="DC116"/>
      <c r="DD116" s="1"/>
      <c r="DF116" s="1"/>
      <c r="DH116" s="1"/>
      <c r="DJ116" s="1"/>
      <c r="DL116" s="1"/>
      <c r="DN116" s="1"/>
      <c r="DP116" s="1"/>
    </row>
    <row r="117" spans="1:120">
      <c r="A117">
        <v>41945</v>
      </c>
      <c r="B117" s="1" t="s">
        <v>231</v>
      </c>
      <c r="C117" s="1" t="s">
        <v>374</v>
      </c>
      <c r="D117" s="1" t="str">
        <f>VLOOKUP( 57,Squads!A:E,5,0)</f>
        <v>WAT</v>
      </c>
      <c r="E117" s="1" t="str">
        <f>VLOOKUP( 2,$CX$2:$CY$5,2,0)</f>
        <v>DEF</v>
      </c>
      <c r="F117" s="8">
        <v>1800000</v>
      </c>
      <c r="G117" s="1" t="s">
        <v>0</v>
      </c>
      <c r="H117" s="1">
        <v>1500000</v>
      </c>
      <c r="I117" s="1">
        <v>1500000</v>
      </c>
      <c r="J117" s="3">
        <v>1500000</v>
      </c>
      <c r="K117" s="3">
        <v>1800000</v>
      </c>
      <c r="M117" s="3">
        <v>6</v>
      </c>
      <c r="N117" s="3">
        <v>8</v>
      </c>
      <c r="O117" s="3">
        <v>13</v>
      </c>
      <c r="P117" s="3">
        <v>57</v>
      </c>
      <c r="Q117" s="3">
        <v>3</v>
      </c>
      <c r="R117" s="3">
        <v>14</v>
      </c>
      <c r="S117" s="3">
        <v>4.7</v>
      </c>
      <c r="T117" s="3">
        <v>8</v>
      </c>
      <c r="U117" s="3">
        <v>-2</v>
      </c>
      <c r="V117" s="3">
        <v>4.7</v>
      </c>
      <c r="W117" s="3">
        <v>3.6</v>
      </c>
      <c r="X117" s="3">
        <v>14031</v>
      </c>
      <c r="Y117" s="3">
        <v>1.2</v>
      </c>
      <c r="Z117" s="3">
        <v>0</v>
      </c>
      <c r="CX117" s="9"/>
      <c r="DA117"/>
      <c r="DC117"/>
      <c r="DD117" s="1"/>
      <c r="DF117" s="1"/>
      <c r="DH117" s="1"/>
      <c r="DJ117" s="1"/>
      <c r="DL117" s="1"/>
      <c r="DN117" s="1"/>
      <c r="DP117" s="1"/>
    </row>
    <row r="118" spans="1:120">
      <c r="A118">
        <v>42427</v>
      </c>
      <c r="B118" s="1" t="s">
        <v>277</v>
      </c>
      <c r="C118" s="1" t="s">
        <v>288</v>
      </c>
      <c r="D118" s="1" t="str">
        <f>VLOOKUP( 35,Squads!A:E,5,0)</f>
        <v>WBA</v>
      </c>
      <c r="E118" s="1" t="str">
        <f>VLOOKUP( 2,$CX$2:$CY$5,2,0)</f>
        <v>DEF</v>
      </c>
      <c r="F118" s="8">
        <v>3500000</v>
      </c>
      <c r="G118" s="1" t="s">
        <v>0</v>
      </c>
      <c r="H118" s="1">
        <v>3500000</v>
      </c>
      <c r="I118" s="1">
        <v>3500000</v>
      </c>
      <c r="J118" s="3">
        <v>3500000</v>
      </c>
      <c r="K118" s="3">
        <v>3500000</v>
      </c>
      <c r="O118" s="3">
        <v>0</v>
      </c>
      <c r="P118" s="3">
        <v>218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1.7</v>
      </c>
      <c r="W118" s="3">
        <v>2.2000000000000002</v>
      </c>
      <c r="X118" s="3">
        <v>5831</v>
      </c>
      <c r="Y118" s="3">
        <v>0.5</v>
      </c>
      <c r="Z118" s="3">
        <v>0</v>
      </c>
      <c r="CX118" s="9"/>
      <c r="DA118"/>
      <c r="DC118"/>
      <c r="DD118" s="1"/>
      <c r="DF118" s="1"/>
      <c r="DH118" s="1"/>
      <c r="DJ118" s="1"/>
      <c r="DL118" s="1"/>
      <c r="DN118" s="1"/>
      <c r="DP118" s="1"/>
    </row>
    <row r="119" spans="1:120">
      <c r="A119">
        <v>42593</v>
      </c>
      <c r="B119" s="1" t="s">
        <v>218</v>
      </c>
      <c r="C119" s="1" t="s">
        <v>219</v>
      </c>
      <c r="D119" s="1" t="str">
        <f>VLOOKUP( 43,Squads!A:E,5,0)</f>
        <v>MCI</v>
      </c>
      <c r="E119" s="1" t="str">
        <f>VLOOKUP( 2,$CX$2:$CY$5,2,0)</f>
        <v>DEF</v>
      </c>
      <c r="F119" s="8">
        <v>4500000</v>
      </c>
      <c r="G119" s="1" t="s">
        <v>978</v>
      </c>
      <c r="H119" s="1">
        <v>4500000</v>
      </c>
      <c r="I119" s="1">
        <v>4500000</v>
      </c>
      <c r="J119" s="3">
        <v>4500000</v>
      </c>
      <c r="K119" s="3">
        <v>4500000</v>
      </c>
      <c r="O119" s="3">
        <v>0</v>
      </c>
      <c r="P119" s="3">
        <v>218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0.7</v>
      </c>
      <c r="W119" s="3">
        <v>3.2</v>
      </c>
      <c r="X119" s="3">
        <v>4326</v>
      </c>
      <c r="Y119" s="3">
        <v>0.4</v>
      </c>
      <c r="Z119" s="3">
        <v>0</v>
      </c>
      <c r="CX119" s="9"/>
      <c r="DA119"/>
      <c r="DC119"/>
      <c r="DD119" s="1"/>
      <c r="DF119" s="1"/>
      <c r="DH119" s="1"/>
      <c r="DJ119" s="1"/>
      <c r="DL119" s="1"/>
      <c r="DN119" s="1"/>
      <c r="DP119" s="1"/>
    </row>
    <row r="120" spans="1:120">
      <c r="A120">
        <v>42727</v>
      </c>
      <c r="B120" s="1" t="s">
        <v>746</v>
      </c>
      <c r="C120" s="1" t="s">
        <v>747</v>
      </c>
      <c r="D120" s="1" t="str">
        <f>VLOOKUP( 4,Squads!A:E,5,0)</f>
        <v>NEW</v>
      </c>
      <c r="E120" s="1" t="str">
        <f>VLOOKUP( 3,$CX$2:$CY$5,2,0)</f>
        <v>MID</v>
      </c>
      <c r="F120" s="8">
        <v>3000000</v>
      </c>
      <c r="G120" s="1" t="s">
        <v>978</v>
      </c>
      <c r="H120" s="1">
        <v>3000000</v>
      </c>
      <c r="I120" s="1">
        <v>3000000</v>
      </c>
      <c r="J120" s="3">
        <v>3000000</v>
      </c>
      <c r="K120" s="3">
        <v>3000000</v>
      </c>
      <c r="O120" s="3">
        <v>0</v>
      </c>
      <c r="P120" s="3">
        <v>218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-1</v>
      </c>
      <c r="W120" s="3">
        <v>-1</v>
      </c>
      <c r="X120" s="3">
        <v>155</v>
      </c>
      <c r="Y120" s="3">
        <v>0</v>
      </c>
      <c r="Z120" s="3">
        <v>0</v>
      </c>
      <c r="CX120" s="9"/>
      <c r="DA120"/>
      <c r="DC120"/>
      <c r="DD120" s="1"/>
      <c r="DF120" s="1"/>
      <c r="DH120" s="1"/>
      <c r="DJ120" s="1"/>
      <c r="DL120" s="1"/>
      <c r="DN120" s="1"/>
      <c r="DP120" s="1"/>
    </row>
    <row r="121" spans="1:120">
      <c r="A121">
        <v>42748</v>
      </c>
      <c r="B121" s="1" t="s">
        <v>784</v>
      </c>
      <c r="C121" s="1" t="s">
        <v>785</v>
      </c>
      <c r="D121" s="1" t="str">
        <f>VLOOKUP( 36,Squads!A:E,5,0)</f>
        <v>BHA</v>
      </c>
      <c r="E121" s="1" t="str">
        <f>VLOOKUP( 2,$CX$2:$CY$5,2,0)</f>
        <v>DEF</v>
      </c>
      <c r="F121" s="8">
        <v>1500000</v>
      </c>
      <c r="G121" s="1" t="s">
        <v>0</v>
      </c>
      <c r="H121" s="1">
        <v>1500000</v>
      </c>
      <c r="I121" s="1">
        <v>1500000</v>
      </c>
      <c r="J121" s="3">
        <v>1500000</v>
      </c>
      <c r="K121" s="3">
        <v>1500000</v>
      </c>
      <c r="M121" s="3">
        <v>5</v>
      </c>
      <c r="O121" s="3">
        <v>0</v>
      </c>
      <c r="P121" s="3">
        <v>155</v>
      </c>
      <c r="Q121" s="3">
        <v>1</v>
      </c>
      <c r="R121" s="3">
        <v>5</v>
      </c>
      <c r="S121" s="3">
        <v>5</v>
      </c>
      <c r="T121" s="3">
        <v>5</v>
      </c>
      <c r="U121" s="3">
        <v>5</v>
      </c>
      <c r="V121" s="3">
        <v>5</v>
      </c>
      <c r="W121" s="3">
        <v>5</v>
      </c>
      <c r="X121" s="3">
        <v>2363</v>
      </c>
      <c r="Y121" s="3">
        <v>0.2</v>
      </c>
      <c r="Z121" s="3">
        <v>0</v>
      </c>
      <c r="CX121" s="9"/>
      <c r="DA121"/>
      <c r="DC121"/>
      <c r="DD121" s="1"/>
      <c r="DF121" s="1"/>
      <c r="DH121" s="1"/>
      <c r="DJ121" s="1"/>
      <c r="DL121" s="1"/>
      <c r="DN121" s="1"/>
      <c r="DP121" s="1"/>
    </row>
    <row r="122" spans="1:120">
      <c r="A122">
        <v>42774</v>
      </c>
      <c r="B122" s="1" t="s">
        <v>109</v>
      </c>
      <c r="C122" s="1" t="s">
        <v>289</v>
      </c>
      <c r="D122" s="1" t="str">
        <f>VLOOKUP( 11,Squads!A:E,5,0)</f>
        <v>EVE</v>
      </c>
      <c r="E122" s="1" t="str">
        <f>VLOOKUP( 3,$CX$2:$CY$5,2,0)</f>
        <v>MID</v>
      </c>
      <c r="F122" s="8">
        <v>2000000</v>
      </c>
      <c r="G122" s="1" t="s">
        <v>978</v>
      </c>
      <c r="H122" s="1">
        <v>2000000</v>
      </c>
      <c r="I122" s="1">
        <v>2000000</v>
      </c>
      <c r="J122" s="3">
        <v>2000000</v>
      </c>
      <c r="K122" s="3">
        <v>2000000</v>
      </c>
      <c r="L122" s="3">
        <v>2</v>
      </c>
      <c r="M122" s="3">
        <v>0</v>
      </c>
      <c r="O122" s="3">
        <v>0</v>
      </c>
      <c r="P122" s="3">
        <v>197</v>
      </c>
      <c r="Q122" s="3">
        <v>4</v>
      </c>
      <c r="R122" s="3">
        <v>2</v>
      </c>
      <c r="S122" s="3">
        <v>0.5</v>
      </c>
      <c r="T122" s="3">
        <v>3</v>
      </c>
      <c r="U122" s="3">
        <v>-3</v>
      </c>
      <c r="V122" s="3">
        <v>-0.3</v>
      </c>
      <c r="W122" s="3">
        <v>1</v>
      </c>
      <c r="X122" s="3">
        <v>4100</v>
      </c>
      <c r="Y122" s="3">
        <v>0.4</v>
      </c>
      <c r="Z122" s="3">
        <v>0</v>
      </c>
      <c r="CX122" s="9"/>
      <c r="DA122"/>
      <c r="DC122"/>
      <c r="DD122" s="1"/>
      <c r="DF122" s="1"/>
      <c r="DH122" s="1"/>
      <c r="DJ122" s="1"/>
      <c r="DL122" s="1"/>
      <c r="DN122" s="1"/>
      <c r="DP122" s="1"/>
    </row>
    <row r="123" spans="1:120">
      <c r="A123">
        <v>42786</v>
      </c>
      <c r="B123" s="1" t="s">
        <v>36</v>
      </c>
      <c r="C123" s="1" t="s">
        <v>37</v>
      </c>
      <c r="D123" s="1" t="str">
        <f>VLOOKUP( 8,Squads!A:E,5,0)</f>
        <v>CHE</v>
      </c>
      <c r="E123" s="1" t="str">
        <f>VLOOKUP( 3,$CX$2:$CY$5,2,0)</f>
        <v>MID</v>
      </c>
      <c r="F123" s="8">
        <v>7000000</v>
      </c>
      <c r="G123" s="1" t="s">
        <v>0</v>
      </c>
      <c r="H123" s="1">
        <v>7000000</v>
      </c>
      <c r="I123" s="1">
        <v>7000000</v>
      </c>
      <c r="J123" s="3">
        <v>7000000</v>
      </c>
      <c r="K123" s="3">
        <v>7000000</v>
      </c>
      <c r="O123" s="3">
        <v>0</v>
      </c>
      <c r="P123" s="3">
        <v>218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5.7</v>
      </c>
      <c r="W123" s="3">
        <v>4</v>
      </c>
      <c r="X123" s="3">
        <v>60209</v>
      </c>
      <c r="Y123" s="3">
        <v>5.3</v>
      </c>
      <c r="Z123" s="3">
        <v>0</v>
      </c>
      <c r="CX123" s="9"/>
      <c r="DA123"/>
      <c r="DC123"/>
      <c r="DD123" s="1"/>
      <c r="DF123" s="1"/>
      <c r="DH123" s="1"/>
      <c r="DJ123" s="1"/>
      <c r="DL123" s="1"/>
      <c r="DN123" s="1"/>
      <c r="DP123" s="1"/>
    </row>
    <row r="124" spans="1:120">
      <c r="A124">
        <v>42899</v>
      </c>
      <c r="B124" s="1" t="s">
        <v>406</v>
      </c>
      <c r="C124" s="1" t="s">
        <v>1004</v>
      </c>
      <c r="D124" s="1" t="str">
        <f>VLOOKUP( 1,Squads!A:E,5,0)</f>
        <v>MUN</v>
      </c>
      <c r="E124" s="1" t="str">
        <f>VLOOKUP( 1,$CX$2:$CY$5,2,0)</f>
        <v>GK</v>
      </c>
      <c r="F124" s="8">
        <v>2000000</v>
      </c>
      <c r="G124" s="1" t="s">
        <v>0</v>
      </c>
      <c r="H124" s="1">
        <v>2000000</v>
      </c>
      <c r="I124" s="1">
        <v>2000000</v>
      </c>
      <c r="J124" s="3">
        <v>2000000</v>
      </c>
      <c r="K124" s="3">
        <v>2000000</v>
      </c>
      <c r="O124" s="3">
        <v>0</v>
      </c>
      <c r="P124" s="3">
        <v>218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4.3</v>
      </c>
      <c r="W124" s="3">
        <v>4.2</v>
      </c>
      <c r="X124" s="3">
        <v>3559</v>
      </c>
      <c r="Y124" s="3">
        <v>0.3</v>
      </c>
      <c r="Z124" s="3">
        <v>0</v>
      </c>
      <c r="CX124" s="9"/>
      <c r="DA124"/>
      <c r="DC124"/>
      <c r="DD124" s="1"/>
      <c r="DF124" s="1"/>
      <c r="DH124" s="1"/>
      <c r="DJ124" s="1"/>
      <c r="DL124" s="1"/>
      <c r="DN124" s="1"/>
      <c r="DP124" s="1"/>
    </row>
    <row r="125" spans="1:120">
      <c r="A125">
        <v>42996</v>
      </c>
      <c r="B125" s="1" t="s">
        <v>317</v>
      </c>
      <c r="C125" s="1" t="s">
        <v>318</v>
      </c>
      <c r="D125" s="1" t="str">
        <f>VLOOKUP( 80,Squads!A:E,5,0)</f>
        <v>SWA</v>
      </c>
      <c r="E125" s="1" t="str">
        <f>VLOOKUP( 2,$CX$2:$CY$5,2,0)</f>
        <v>DEF</v>
      </c>
      <c r="F125" s="8">
        <v>1700000</v>
      </c>
      <c r="G125" s="1" t="s">
        <v>0</v>
      </c>
      <c r="H125" s="1">
        <v>1500000</v>
      </c>
      <c r="I125" s="1">
        <v>1500000</v>
      </c>
      <c r="J125" s="3">
        <v>1500000</v>
      </c>
      <c r="K125" s="3">
        <v>1700000</v>
      </c>
      <c r="M125" s="3">
        <v>2</v>
      </c>
      <c r="N125" s="3">
        <v>5</v>
      </c>
      <c r="O125" s="3">
        <v>48</v>
      </c>
      <c r="P125" s="3">
        <v>124</v>
      </c>
      <c r="Q125" s="3">
        <v>2</v>
      </c>
      <c r="R125" s="3">
        <v>7</v>
      </c>
      <c r="S125" s="3">
        <v>3.5</v>
      </c>
      <c r="T125" s="3">
        <v>5</v>
      </c>
      <c r="U125" s="3">
        <v>2</v>
      </c>
      <c r="V125" s="3">
        <v>1.3</v>
      </c>
      <c r="W125" s="3">
        <v>1</v>
      </c>
      <c r="X125" s="3">
        <v>3106</v>
      </c>
      <c r="Y125" s="3">
        <v>0.3</v>
      </c>
      <c r="Z125" s="3">
        <v>0</v>
      </c>
      <c r="CX125" s="9"/>
      <c r="DA125"/>
      <c r="DC125"/>
      <c r="DD125" s="1"/>
      <c r="DF125" s="1"/>
      <c r="DH125" s="1"/>
      <c r="DJ125" s="1"/>
      <c r="DL125" s="1"/>
      <c r="DN125" s="1"/>
      <c r="DP125" s="1"/>
    </row>
    <row r="126" spans="1:120">
      <c r="A126">
        <v>43020</v>
      </c>
      <c r="B126" s="1" t="s">
        <v>989</v>
      </c>
      <c r="C126" s="1" t="s">
        <v>990</v>
      </c>
      <c r="D126" s="1" t="str">
        <f>VLOOKUP( 21,Squads!A:E,5,0)</f>
        <v>WHU</v>
      </c>
      <c r="E126" s="1" t="str">
        <f>VLOOKUP( 4,$CX$2:$CY$5,2,0)</f>
        <v>STR</v>
      </c>
      <c r="F126" s="8">
        <v>3600000</v>
      </c>
      <c r="G126" s="1" t="s">
        <v>0</v>
      </c>
      <c r="H126" s="1">
        <v>3500000</v>
      </c>
      <c r="I126" s="1">
        <v>3500000</v>
      </c>
      <c r="J126" s="3">
        <v>3500000</v>
      </c>
      <c r="K126" s="3">
        <v>3600000</v>
      </c>
      <c r="L126" s="3">
        <v>0</v>
      </c>
      <c r="M126" s="3">
        <v>18</v>
      </c>
      <c r="N126" s="3">
        <v>-1</v>
      </c>
      <c r="O126" s="3">
        <v>199</v>
      </c>
      <c r="P126" s="3">
        <v>39</v>
      </c>
      <c r="Q126" s="3">
        <v>4</v>
      </c>
      <c r="R126" s="3">
        <v>17</v>
      </c>
      <c r="S126" s="3">
        <v>4.3</v>
      </c>
      <c r="T126" s="3">
        <v>18</v>
      </c>
      <c r="U126" s="3">
        <v>-1</v>
      </c>
      <c r="V126" s="3">
        <v>5.7</v>
      </c>
      <c r="W126" s="3">
        <v>3.4</v>
      </c>
      <c r="X126" s="3">
        <v>140418</v>
      </c>
      <c r="Y126" s="3">
        <v>12.3</v>
      </c>
      <c r="Z126" s="3">
        <v>0</v>
      </c>
      <c r="CX126" s="9"/>
      <c r="DA126"/>
      <c r="DC126"/>
      <c r="DD126" s="1"/>
      <c r="DF126" s="1"/>
      <c r="DH126" s="1"/>
      <c r="DJ126" s="1"/>
      <c r="DL126" s="1"/>
      <c r="DN126" s="1"/>
      <c r="DP126" s="1"/>
    </row>
    <row r="127" spans="1:120">
      <c r="A127">
        <v>43191</v>
      </c>
      <c r="C127" s="1" t="s">
        <v>365</v>
      </c>
      <c r="D127" s="1" t="str">
        <f>VLOOKUP( 14,Squads!A:E,5,0)</f>
        <v>LIV</v>
      </c>
      <c r="E127" s="1" t="str">
        <f>VLOOKUP( 3,$CX$2:$CY$5,2,0)</f>
        <v>MID</v>
      </c>
      <c r="F127" s="8">
        <v>1500000</v>
      </c>
      <c r="G127" s="1" t="s">
        <v>978</v>
      </c>
      <c r="H127" s="1">
        <v>1500000</v>
      </c>
      <c r="I127" s="1">
        <v>1500000</v>
      </c>
      <c r="J127" s="3">
        <v>1500000</v>
      </c>
      <c r="K127" s="3">
        <v>1500000</v>
      </c>
      <c r="O127" s="3">
        <v>0</v>
      </c>
      <c r="P127" s="3">
        <v>218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432</v>
      </c>
      <c r="Y127" s="3">
        <v>0</v>
      </c>
      <c r="Z127" s="3">
        <v>0</v>
      </c>
      <c r="CX127" s="9"/>
      <c r="DA127"/>
      <c r="DC127"/>
      <c r="DD127" s="1"/>
      <c r="DF127" s="1"/>
      <c r="DH127" s="1"/>
      <c r="DJ127" s="1"/>
      <c r="DL127" s="1"/>
      <c r="DN127" s="1"/>
      <c r="DP127" s="1"/>
    </row>
    <row r="128" spans="1:120">
      <c r="A128">
        <v>43250</v>
      </c>
      <c r="B128" s="1" t="s">
        <v>253</v>
      </c>
      <c r="C128" s="1" t="s">
        <v>334</v>
      </c>
      <c r="D128" s="1" t="str">
        <f>VLOOKUP( 57,Squads!A:E,5,0)</f>
        <v>WAT</v>
      </c>
      <c r="E128" s="1" t="str">
        <f>VLOOKUP( 3,$CX$2:$CY$5,2,0)</f>
        <v>MID</v>
      </c>
      <c r="F128" s="8">
        <v>1900000</v>
      </c>
      <c r="G128" s="1" t="s">
        <v>0</v>
      </c>
      <c r="H128" s="1">
        <v>2000000</v>
      </c>
      <c r="I128" s="1">
        <v>2000000</v>
      </c>
      <c r="J128" s="3">
        <v>2000000</v>
      </c>
      <c r="K128" s="3">
        <v>1900000</v>
      </c>
      <c r="L128" s="3">
        <v>0</v>
      </c>
      <c r="M128" s="3">
        <v>3</v>
      </c>
      <c r="N128" s="3">
        <v>0</v>
      </c>
      <c r="O128" s="3">
        <v>108</v>
      </c>
      <c r="P128" s="3">
        <v>178</v>
      </c>
      <c r="Q128" s="3">
        <v>4</v>
      </c>
      <c r="R128" s="3">
        <v>3</v>
      </c>
      <c r="S128" s="3">
        <v>0.8</v>
      </c>
      <c r="T128" s="3">
        <v>3</v>
      </c>
      <c r="U128" s="3">
        <v>0</v>
      </c>
      <c r="V128" s="3">
        <v>1</v>
      </c>
      <c r="W128" s="3">
        <v>0.6</v>
      </c>
      <c r="X128" s="3">
        <v>711</v>
      </c>
      <c r="Y128" s="3">
        <v>0.1</v>
      </c>
      <c r="Z128" s="3">
        <v>0</v>
      </c>
      <c r="CX128" s="9"/>
      <c r="DA128"/>
      <c r="DC128"/>
      <c r="DD128" s="1"/>
      <c r="DF128" s="1"/>
      <c r="DH128" s="1"/>
      <c r="DJ128" s="1"/>
      <c r="DL128" s="1"/>
      <c r="DN128" s="1"/>
      <c r="DP128" s="1"/>
    </row>
    <row r="129" spans="1:120">
      <c r="A129">
        <v>43670</v>
      </c>
      <c r="B129" s="1" t="s">
        <v>413</v>
      </c>
      <c r="C129" s="1" t="s">
        <v>87</v>
      </c>
      <c r="D129" s="1" t="str">
        <f>VLOOKUP( 1,Squads!A:E,5,0)</f>
        <v>MUN</v>
      </c>
      <c r="E129" s="1" t="str">
        <f>VLOOKUP( 3,$CX$2:$CY$5,2,0)</f>
        <v>MID</v>
      </c>
      <c r="F129" s="8">
        <v>2900000</v>
      </c>
      <c r="G129" s="1" t="s">
        <v>0</v>
      </c>
      <c r="H129" s="1">
        <v>3000000</v>
      </c>
      <c r="I129" s="1">
        <v>3000000</v>
      </c>
      <c r="J129" s="3">
        <v>3000000</v>
      </c>
      <c r="K129" s="3">
        <v>2900000</v>
      </c>
      <c r="L129" s="3">
        <v>3</v>
      </c>
      <c r="M129" s="3">
        <v>3</v>
      </c>
      <c r="N129" s="3">
        <v>0</v>
      </c>
      <c r="O129" s="3">
        <v>108</v>
      </c>
      <c r="P129" s="3">
        <v>139</v>
      </c>
      <c r="Q129" s="3">
        <v>3</v>
      </c>
      <c r="R129" s="3">
        <v>6</v>
      </c>
      <c r="S129" s="3">
        <v>2</v>
      </c>
      <c r="T129" s="3">
        <v>3</v>
      </c>
      <c r="U129" s="3">
        <v>0</v>
      </c>
      <c r="V129" s="3">
        <v>2</v>
      </c>
      <c r="W129" s="3">
        <v>1.2</v>
      </c>
      <c r="X129" s="3">
        <v>46689</v>
      </c>
      <c r="Y129" s="3">
        <v>4.0999999999999996</v>
      </c>
      <c r="Z129" s="3">
        <v>0</v>
      </c>
      <c r="CX129" s="9"/>
      <c r="DA129"/>
      <c r="DC129"/>
      <c r="DD129" s="1"/>
      <c r="DF129" s="1"/>
      <c r="DH129" s="1"/>
      <c r="DJ129" s="1"/>
      <c r="DL129" s="1"/>
      <c r="DN129" s="1"/>
      <c r="DP129" s="1"/>
    </row>
    <row r="130" spans="1:120">
      <c r="A130">
        <v>44336</v>
      </c>
      <c r="B130" s="1" t="s">
        <v>162</v>
      </c>
      <c r="C130" s="1" t="s">
        <v>163</v>
      </c>
      <c r="D130" s="1" t="str">
        <f>VLOOKUP( 21,Squads!A:E,5,0)</f>
        <v>WHU</v>
      </c>
      <c r="E130" s="1" t="str">
        <f>VLOOKUP( 3,$CX$2:$CY$5,2,0)</f>
        <v>MID</v>
      </c>
      <c r="F130" s="8">
        <v>1000000</v>
      </c>
      <c r="G130" s="1" t="s">
        <v>0</v>
      </c>
      <c r="H130" s="1">
        <v>1000000</v>
      </c>
      <c r="I130" s="1">
        <v>1000000</v>
      </c>
      <c r="J130" s="3">
        <v>1000000</v>
      </c>
      <c r="K130" s="3">
        <v>1000000</v>
      </c>
      <c r="O130" s="3">
        <v>0</v>
      </c>
      <c r="P130" s="3">
        <v>218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-0.2</v>
      </c>
      <c r="X130" s="3">
        <v>340</v>
      </c>
      <c r="Y130" s="3">
        <v>0</v>
      </c>
      <c r="Z130" s="3">
        <v>0</v>
      </c>
      <c r="CX130" s="9"/>
      <c r="DA130"/>
      <c r="DC130"/>
      <c r="DD130" s="1"/>
      <c r="DF130" s="1"/>
      <c r="DH130" s="1"/>
      <c r="DJ130" s="1"/>
      <c r="DL130" s="1"/>
      <c r="DN130" s="1"/>
      <c r="DP130" s="1"/>
    </row>
    <row r="131" spans="1:120">
      <c r="A131">
        <v>44346</v>
      </c>
      <c r="B131" s="1" t="s">
        <v>71</v>
      </c>
      <c r="C131" s="1" t="s">
        <v>72</v>
      </c>
      <c r="D131" s="1" t="str">
        <f>VLOOKUP( 3,Squads!A:E,5,0)</f>
        <v>ARS</v>
      </c>
      <c r="E131" s="1" t="str">
        <f>VLOOKUP( 4,$CX$2:$CY$5,2,0)</f>
        <v>STR</v>
      </c>
      <c r="F131" s="8">
        <v>3900000</v>
      </c>
      <c r="G131" s="1" t="s">
        <v>0</v>
      </c>
      <c r="H131" s="1">
        <v>4000000</v>
      </c>
      <c r="I131" s="1">
        <v>4000000</v>
      </c>
      <c r="J131" s="3">
        <v>4000000</v>
      </c>
      <c r="K131" s="3">
        <v>3900000</v>
      </c>
      <c r="L131" s="3">
        <v>8</v>
      </c>
      <c r="M131" s="3">
        <v>0</v>
      </c>
      <c r="N131" s="3">
        <v>0</v>
      </c>
      <c r="O131" s="3">
        <v>108</v>
      </c>
      <c r="P131" s="3">
        <v>103</v>
      </c>
      <c r="Q131" s="3">
        <v>3</v>
      </c>
      <c r="R131" s="3">
        <v>8</v>
      </c>
      <c r="S131" s="3">
        <v>2.7</v>
      </c>
      <c r="T131" s="3">
        <v>8</v>
      </c>
      <c r="U131" s="3">
        <v>0</v>
      </c>
      <c r="V131" s="3">
        <v>2.7</v>
      </c>
      <c r="W131" s="3">
        <v>1.6</v>
      </c>
      <c r="X131" s="3">
        <v>21414</v>
      </c>
      <c r="Y131" s="3">
        <v>1.9</v>
      </c>
      <c r="Z131" s="3">
        <v>0</v>
      </c>
      <c r="CX131" s="9"/>
      <c r="DA131"/>
      <c r="DC131"/>
      <c r="DD131" s="1"/>
      <c r="DF131" s="1"/>
      <c r="DH131" s="1"/>
      <c r="DJ131" s="1"/>
      <c r="DL131" s="1"/>
      <c r="DN131" s="1"/>
      <c r="DP131" s="1"/>
    </row>
    <row r="132" spans="1:120">
      <c r="A132">
        <v>44604</v>
      </c>
      <c r="B132" s="1" t="s">
        <v>371</v>
      </c>
      <c r="C132" s="1" t="s">
        <v>372</v>
      </c>
      <c r="D132" s="1" t="str">
        <f>VLOOKUP( 57,Squads!A:E,5,0)</f>
        <v>WAT</v>
      </c>
      <c r="E132" s="1" t="str">
        <f>VLOOKUP( 4,$CX$2:$CY$5,2,0)</f>
        <v>STR</v>
      </c>
      <c r="F132" s="8">
        <v>1400000</v>
      </c>
      <c r="G132" s="1" t="s">
        <v>0</v>
      </c>
      <c r="H132" s="1">
        <v>1500000</v>
      </c>
      <c r="I132" s="1">
        <v>1500000</v>
      </c>
      <c r="J132" s="3">
        <v>1500000</v>
      </c>
      <c r="K132" s="3">
        <v>1400000</v>
      </c>
      <c r="L132" s="3">
        <v>0</v>
      </c>
      <c r="M132" s="3">
        <v>0</v>
      </c>
      <c r="N132" s="3">
        <v>0</v>
      </c>
      <c r="O132" s="3">
        <v>108</v>
      </c>
      <c r="P132" s="3">
        <v>218</v>
      </c>
      <c r="Q132" s="3">
        <v>4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1</v>
      </c>
      <c r="X132" s="3">
        <v>473</v>
      </c>
      <c r="Y132" s="3">
        <v>0</v>
      </c>
      <c r="Z132" s="3">
        <v>0</v>
      </c>
      <c r="CX132" s="9"/>
      <c r="DA132"/>
      <c r="DC132"/>
      <c r="DD132" s="1"/>
      <c r="DF132" s="1"/>
      <c r="DH132" s="1"/>
      <c r="DJ132" s="1"/>
      <c r="DL132" s="1"/>
      <c r="DN132" s="1"/>
      <c r="DP132" s="1"/>
    </row>
    <row r="133" spans="1:120">
      <c r="A133">
        <v>44683</v>
      </c>
      <c r="B133" s="1" t="s">
        <v>286</v>
      </c>
      <c r="C133" s="1" t="s">
        <v>287</v>
      </c>
      <c r="D133" s="1" t="str">
        <f>VLOOKUP( 35,Squads!A:E,5,0)</f>
        <v>WBA</v>
      </c>
      <c r="E133" s="1" t="str">
        <f>VLOOKUP( 4,$CX$2:$CY$5,2,0)</f>
        <v>STR</v>
      </c>
      <c r="F133" s="8">
        <v>2300000</v>
      </c>
      <c r="G133" s="1" t="s">
        <v>0</v>
      </c>
      <c r="H133" s="1">
        <v>2000000</v>
      </c>
      <c r="I133" s="1">
        <v>2000000</v>
      </c>
      <c r="J133" s="3">
        <v>2000000</v>
      </c>
      <c r="K133" s="3">
        <v>2300000</v>
      </c>
      <c r="L133" s="3">
        <v>-1</v>
      </c>
      <c r="M133" s="3">
        <v>15</v>
      </c>
      <c r="N133" s="3">
        <v>7</v>
      </c>
      <c r="O133" s="3">
        <v>45</v>
      </c>
      <c r="P133" s="3">
        <v>20</v>
      </c>
      <c r="Q133" s="3">
        <v>4</v>
      </c>
      <c r="R133" s="3">
        <v>21</v>
      </c>
      <c r="S133" s="3">
        <v>5.3</v>
      </c>
      <c r="T133" s="3">
        <v>15</v>
      </c>
      <c r="U133" s="3">
        <v>-1</v>
      </c>
      <c r="V133" s="3">
        <v>7.3</v>
      </c>
      <c r="W133" s="3">
        <v>5.8</v>
      </c>
      <c r="X133" s="3">
        <v>8887</v>
      </c>
      <c r="Y133" s="3">
        <v>0.8</v>
      </c>
      <c r="Z133" s="3">
        <v>0</v>
      </c>
      <c r="CX133" s="9"/>
      <c r="DA133"/>
      <c r="DC133"/>
      <c r="DD133" s="1"/>
      <c r="DF133" s="1"/>
      <c r="DH133" s="1"/>
      <c r="DJ133" s="1"/>
      <c r="DL133" s="1"/>
      <c r="DN133" s="1"/>
      <c r="DP133" s="1"/>
    </row>
    <row r="134" spans="1:120">
      <c r="A134">
        <v>44699</v>
      </c>
      <c r="B134" s="1" t="s">
        <v>102</v>
      </c>
      <c r="C134" s="1" t="s">
        <v>366</v>
      </c>
      <c r="D134" s="1" t="str">
        <f>VLOOKUP( 90,Squads!A:E,5,0)</f>
        <v>BUR</v>
      </c>
      <c r="E134" s="1" t="str">
        <f>VLOOKUP( 4,$CX$2:$CY$5,2,0)</f>
        <v>STR</v>
      </c>
      <c r="F134" s="8">
        <v>1800000</v>
      </c>
      <c r="G134" s="1" t="s">
        <v>0</v>
      </c>
      <c r="H134" s="1">
        <v>2000000</v>
      </c>
      <c r="I134" s="1">
        <v>2000000</v>
      </c>
      <c r="J134" s="3">
        <v>2000000</v>
      </c>
      <c r="K134" s="3">
        <v>1800000</v>
      </c>
      <c r="M134" s="3">
        <v>-1</v>
      </c>
      <c r="N134" s="3">
        <v>0</v>
      </c>
      <c r="O134" s="3">
        <v>108</v>
      </c>
      <c r="P134" s="3">
        <v>342</v>
      </c>
      <c r="Q134" s="3">
        <v>3</v>
      </c>
      <c r="R134" s="3">
        <v>-1</v>
      </c>
      <c r="S134" s="3">
        <v>-0.3</v>
      </c>
      <c r="T134" s="3">
        <v>0</v>
      </c>
      <c r="U134" s="3">
        <v>-1</v>
      </c>
      <c r="V134" s="3">
        <v>-0.3</v>
      </c>
      <c r="W134" s="3">
        <v>-0.2</v>
      </c>
      <c r="X134" s="3">
        <v>325</v>
      </c>
      <c r="Y134" s="3">
        <v>0</v>
      </c>
      <c r="Z134" s="3">
        <v>0</v>
      </c>
      <c r="CX134" s="9"/>
      <c r="DA134"/>
      <c r="DC134"/>
      <c r="DD134" s="1"/>
      <c r="DF134" s="1"/>
      <c r="DH134" s="1"/>
      <c r="DJ134" s="1"/>
      <c r="DL134" s="1"/>
      <c r="DN134" s="1"/>
      <c r="DP134" s="1"/>
    </row>
    <row r="135" spans="1:120">
      <c r="A135">
        <v>45124</v>
      </c>
      <c r="B135" s="1" t="s">
        <v>171</v>
      </c>
      <c r="C135" s="1" t="s">
        <v>414</v>
      </c>
      <c r="D135" s="1" t="str">
        <f>VLOOKUP( 21,Squads!A:E,5,0)</f>
        <v>WHU</v>
      </c>
      <c r="E135" s="1" t="str">
        <f>VLOOKUP( 4,$CX$2:$CY$5,2,0)</f>
        <v>STR</v>
      </c>
      <c r="F135" s="8">
        <v>3000000</v>
      </c>
      <c r="G135" s="1" t="s">
        <v>0</v>
      </c>
      <c r="H135" s="1">
        <v>3000000</v>
      </c>
      <c r="I135" s="1">
        <v>3000000</v>
      </c>
      <c r="J135" s="3">
        <v>3000000</v>
      </c>
      <c r="K135" s="3">
        <v>3000000</v>
      </c>
      <c r="L135" s="3">
        <v>0</v>
      </c>
      <c r="M135" s="3">
        <v>8</v>
      </c>
      <c r="N135" s="3">
        <v>0</v>
      </c>
      <c r="O135" s="3">
        <v>108</v>
      </c>
      <c r="P135" s="3">
        <v>103</v>
      </c>
      <c r="Q135" s="3">
        <v>4</v>
      </c>
      <c r="R135" s="3">
        <v>8</v>
      </c>
      <c r="S135" s="3">
        <v>2</v>
      </c>
      <c r="T135" s="3">
        <v>8</v>
      </c>
      <c r="U135" s="3">
        <v>0</v>
      </c>
      <c r="V135" s="3">
        <v>2.7</v>
      </c>
      <c r="W135" s="3">
        <v>1.6</v>
      </c>
      <c r="X135" s="3">
        <v>1187</v>
      </c>
      <c r="Y135" s="3">
        <v>0.1</v>
      </c>
      <c r="Z135" s="3">
        <v>0</v>
      </c>
      <c r="CX135" s="9"/>
      <c r="DA135"/>
      <c r="DC135"/>
      <c r="DD135" s="1"/>
      <c r="DF135" s="1"/>
      <c r="DH135" s="1"/>
      <c r="DJ135" s="1"/>
      <c r="DL135" s="1"/>
      <c r="DN135" s="1"/>
      <c r="DP135" s="1"/>
    </row>
    <row r="136" spans="1:120">
      <c r="A136">
        <v>45268</v>
      </c>
      <c r="B136" s="1" t="s">
        <v>470</v>
      </c>
      <c r="C136" s="1" t="s">
        <v>471</v>
      </c>
      <c r="D136" s="1" t="str">
        <f>VLOOKUP( 6,Squads!A:E,5,0)</f>
        <v>TOT</v>
      </c>
      <c r="E136" s="1" t="str">
        <f>VLOOKUP( 3,$CX$2:$CY$5,2,0)</f>
        <v>MID</v>
      </c>
      <c r="F136" s="8">
        <v>1800000</v>
      </c>
      <c r="G136" s="1" t="s">
        <v>0</v>
      </c>
      <c r="H136" s="1">
        <v>2000000</v>
      </c>
      <c r="I136" s="1">
        <v>2000000</v>
      </c>
      <c r="J136" s="3">
        <v>2000000</v>
      </c>
      <c r="K136" s="3">
        <v>1800000</v>
      </c>
      <c r="L136" s="3">
        <v>0</v>
      </c>
      <c r="M136" s="3">
        <v>0</v>
      </c>
      <c r="N136" s="3">
        <v>0</v>
      </c>
      <c r="O136" s="3">
        <v>108</v>
      </c>
      <c r="P136" s="3">
        <v>218</v>
      </c>
      <c r="Q136" s="3">
        <v>3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1123</v>
      </c>
      <c r="Y136" s="3">
        <v>0.1</v>
      </c>
      <c r="Z136" s="3">
        <v>0</v>
      </c>
      <c r="CX136" s="9"/>
      <c r="DA136"/>
      <c r="DC136"/>
      <c r="DD136" s="1"/>
      <c r="DF136" s="1"/>
      <c r="DH136" s="1"/>
      <c r="DJ136" s="1"/>
      <c r="DL136" s="1"/>
      <c r="DN136" s="1"/>
      <c r="DP136" s="1"/>
    </row>
    <row r="137" spans="1:120">
      <c r="A137">
        <v>47431</v>
      </c>
      <c r="C137" s="1" t="s">
        <v>96</v>
      </c>
      <c r="D137" s="1" t="str">
        <f>VLOOKUP( 8,Squads!A:E,5,0)</f>
        <v>CHE</v>
      </c>
      <c r="E137" s="1" t="str">
        <f>VLOOKUP( 3,$CX$2:$CY$5,2,0)</f>
        <v>MID</v>
      </c>
      <c r="F137" s="8">
        <v>4000000</v>
      </c>
      <c r="G137" s="1" t="s">
        <v>0</v>
      </c>
      <c r="H137" s="1">
        <v>4000000</v>
      </c>
      <c r="I137" s="1">
        <v>4000000</v>
      </c>
      <c r="J137" s="3">
        <v>4000000</v>
      </c>
      <c r="K137" s="3">
        <v>4000000</v>
      </c>
      <c r="L137" s="3">
        <v>5</v>
      </c>
      <c r="M137" s="3">
        <v>3</v>
      </c>
      <c r="N137" s="3">
        <v>3</v>
      </c>
      <c r="O137" s="3">
        <v>71</v>
      </c>
      <c r="P137" s="3">
        <v>78</v>
      </c>
      <c r="Q137" s="3">
        <v>3</v>
      </c>
      <c r="R137" s="3">
        <v>11</v>
      </c>
      <c r="S137" s="3">
        <v>3.7</v>
      </c>
      <c r="T137" s="3">
        <v>5</v>
      </c>
      <c r="U137" s="3">
        <v>3</v>
      </c>
      <c r="V137" s="3">
        <v>3.7</v>
      </c>
      <c r="W137" s="3">
        <v>3.6</v>
      </c>
      <c r="X137" s="3">
        <v>96288</v>
      </c>
      <c r="Y137" s="3">
        <v>8.4</v>
      </c>
      <c r="Z137" s="3">
        <v>0</v>
      </c>
      <c r="CX137" s="9"/>
      <c r="DA137"/>
      <c r="DC137"/>
      <c r="DD137" s="1"/>
      <c r="DF137" s="1"/>
      <c r="DH137" s="1"/>
      <c r="DJ137" s="1"/>
      <c r="DL137" s="1"/>
      <c r="DN137" s="1"/>
      <c r="DP137" s="1"/>
    </row>
    <row r="138" spans="1:120">
      <c r="A138">
        <v>48615</v>
      </c>
      <c r="B138" s="1" t="s">
        <v>13</v>
      </c>
      <c r="C138" s="1" t="s">
        <v>360</v>
      </c>
      <c r="D138" s="1" t="str">
        <f>VLOOKUP( 91,Squads!A:E,5,0)</f>
        <v>BOU</v>
      </c>
      <c r="E138" s="1" t="str">
        <f>VLOOKUP( 3,$CX$2:$CY$5,2,0)</f>
        <v>MID</v>
      </c>
      <c r="F138" s="8">
        <v>900000</v>
      </c>
      <c r="G138" s="1" t="s">
        <v>0</v>
      </c>
      <c r="H138" s="1">
        <v>1000000</v>
      </c>
      <c r="I138" s="1">
        <v>1000000</v>
      </c>
      <c r="J138" s="3">
        <v>1000000</v>
      </c>
      <c r="K138" s="3">
        <v>900000</v>
      </c>
      <c r="L138" s="3">
        <v>-1</v>
      </c>
      <c r="M138" s="3">
        <v>0</v>
      </c>
      <c r="N138" s="3">
        <v>-1</v>
      </c>
      <c r="O138" s="3">
        <v>199</v>
      </c>
      <c r="P138" s="3">
        <v>354</v>
      </c>
      <c r="Q138" s="3">
        <v>3</v>
      </c>
      <c r="R138" s="3">
        <v>-2</v>
      </c>
      <c r="S138" s="3">
        <v>-0.7</v>
      </c>
      <c r="T138" s="3">
        <v>0</v>
      </c>
      <c r="U138" s="3">
        <v>-1</v>
      </c>
      <c r="V138" s="3">
        <v>-0.7</v>
      </c>
      <c r="W138" s="3">
        <v>0.6</v>
      </c>
      <c r="X138" s="3">
        <v>2556</v>
      </c>
      <c r="Y138" s="3">
        <v>0.2</v>
      </c>
      <c r="Z138" s="3">
        <v>0</v>
      </c>
      <c r="CX138" s="9"/>
      <c r="DA138"/>
      <c r="DC138"/>
      <c r="DD138" s="1"/>
      <c r="DF138" s="1"/>
      <c r="DH138" s="1"/>
      <c r="DJ138" s="1"/>
      <c r="DL138" s="1"/>
      <c r="DN138" s="1"/>
      <c r="DP138" s="1"/>
    </row>
    <row r="139" spans="1:120">
      <c r="A139">
        <v>48717</v>
      </c>
      <c r="B139" s="1" t="s">
        <v>200</v>
      </c>
      <c r="C139" s="1" t="s">
        <v>201</v>
      </c>
      <c r="D139" s="1" t="str">
        <f>VLOOKUP( 21,Squads!A:E,5,0)</f>
        <v>WHU</v>
      </c>
      <c r="E139" s="1" t="str">
        <f>VLOOKUP( 2,$CX$2:$CY$5,2,0)</f>
        <v>DEF</v>
      </c>
      <c r="F139" s="8">
        <v>3000000</v>
      </c>
      <c r="G139" s="1" t="s">
        <v>1011</v>
      </c>
      <c r="H139" s="1">
        <v>3000000</v>
      </c>
      <c r="I139" s="1">
        <v>3000000</v>
      </c>
      <c r="J139" s="3">
        <v>3000000</v>
      </c>
      <c r="K139" s="3">
        <v>3000000</v>
      </c>
      <c r="L139" s="3">
        <v>-3</v>
      </c>
      <c r="O139" s="3">
        <v>0</v>
      </c>
      <c r="P139" s="3">
        <v>364</v>
      </c>
      <c r="Q139" s="3">
        <v>1</v>
      </c>
      <c r="R139" s="3">
        <v>-3</v>
      </c>
      <c r="S139" s="3">
        <v>-3</v>
      </c>
      <c r="T139" s="3">
        <v>-3</v>
      </c>
      <c r="U139" s="3">
        <v>-3</v>
      </c>
      <c r="V139" s="3">
        <v>-1.3</v>
      </c>
      <c r="W139" s="3">
        <v>-2</v>
      </c>
      <c r="X139" s="3">
        <v>8923</v>
      </c>
      <c r="Y139" s="3">
        <v>0.8</v>
      </c>
      <c r="Z139" s="3">
        <v>0</v>
      </c>
      <c r="CX139" s="9"/>
      <c r="DA139"/>
      <c r="DC139"/>
      <c r="DD139" s="1"/>
      <c r="DF139" s="1"/>
      <c r="DH139" s="1"/>
      <c r="DJ139" s="1"/>
      <c r="DL139" s="1"/>
      <c r="DN139" s="1"/>
      <c r="DP139" s="1"/>
    </row>
    <row r="140" spans="1:120">
      <c r="A140">
        <v>48760</v>
      </c>
      <c r="B140" s="1" t="s">
        <v>963</v>
      </c>
      <c r="C140" s="1" t="s">
        <v>964</v>
      </c>
      <c r="D140" s="1" t="str">
        <f>VLOOKUP( 38,Squads!A:E,5,0)</f>
        <v>HUD</v>
      </c>
      <c r="E140" s="1" t="str">
        <f>VLOOKUP( 2,$CX$2:$CY$5,2,0)</f>
        <v>DEF</v>
      </c>
      <c r="F140" s="8">
        <v>1800000</v>
      </c>
      <c r="G140" s="1" t="s">
        <v>0</v>
      </c>
      <c r="H140" s="1">
        <v>1500000</v>
      </c>
      <c r="I140" s="1">
        <v>1500000</v>
      </c>
      <c r="J140" s="3">
        <v>1500000</v>
      </c>
      <c r="K140" s="3">
        <v>1800000</v>
      </c>
      <c r="L140" s="3">
        <v>8</v>
      </c>
      <c r="M140" s="3">
        <v>8</v>
      </c>
      <c r="N140" s="3">
        <v>5</v>
      </c>
      <c r="O140" s="3">
        <v>48</v>
      </c>
      <c r="P140" s="3">
        <v>20</v>
      </c>
      <c r="Q140" s="3">
        <v>3</v>
      </c>
      <c r="R140" s="3">
        <v>21</v>
      </c>
      <c r="S140" s="3">
        <v>7</v>
      </c>
      <c r="T140" s="3">
        <v>8</v>
      </c>
      <c r="U140" s="3">
        <v>5</v>
      </c>
      <c r="V140" s="3">
        <v>7</v>
      </c>
      <c r="W140" s="3">
        <v>6.6</v>
      </c>
      <c r="X140" s="3">
        <v>7678</v>
      </c>
      <c r="Y140" s="3">
        <v>0.7</v>
      </c>
      <c r="Z140" s="3">
        <v>0</v>
      </c>
      <c r="CX140" s="9"/>
      <c r="DA140"/>
      <c r="DC140"/>
      <c r="DD140" s="1"/>
      <c r="DF140" s="1"/>
      <c r="DH140" s="1"/>
      <c r="DJ140" s="1"/>
      <c r="DL140" s="1"/>
      <c r="DN140" s="1"/>
      <c r="DP140" s="1"/>
    </row>
    <row r="141" spans="1:120">
      <c r="A141">
        <v>48844</v>
      </c>
      <c r="B141" s="1" t="s">
        <v>3</v>
      </c>
      <c r="C141" s="1" t="s">
        <v>378</v>
      </c>
      <c r="D141" s="1" t="str">
        <f>VLOOKUP( 3,Squads!A:E,5,0)</f>
        <v>ARS</v>
      </c>
      <c r="E141" s="1" t="str">
        <f>VLOOKUP( 1,$CX$2:$CY$5,2,0)</f>
        <v>GK</v>
      </c>
      <c r="F141" s="8">
        <v>2500000</v>
      </c>
      <c r="G141" s="1" t="s">
        <v>0</v>
      </c>
      <c r="H141" s="1">
        <v>2500000</v>
      </c>
      <c r="I141" s="1">
        <v>2500000</v>
      </c>
      <c r="J141" s="3">
        <v>2500000</v>
      </c>
      <c r="K141" s="3">
        <v>2500000</v>
      </c>
      <c r="O141" s="3">
        <v>0</v>
      </c>
      <c r="P141" s="3">
        <v>218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2.2999999999999998</v>
      </c>
      <c r="W141" s="3">
        <v>2.6</v>
      </c>
      <c r="X141" s="3">
        <v>778</v>
      </c>
      <c r="Y141" s="3">
        <v>0.1</v>
      </c>
      <c r="Z141" s="3">
        <v>0</v>
      </c>
      <c r="CF141" s="4"/>
      <c r="CX141" s="9"/>
      <c r="DA141"/>
      <c r="DC141"/>
      <c r="DD141" s="1"/>
      <c r="DF141" s="1"/>
      <c r="DH141" s="1"/>
      <c r="DJ141" s="1"/>
      <c r="DL141" s="1"/>
      <c r="DN141" s="1"/>
      <c r="DP141" s="1"/>
    </row>
    <row r="142" spans="1:120">
      <c r="A142">
        <v>49013</v>
      </c>
      <c r="B142" s="1" t="s">
        <v>144</v>
      </c>
      <c r="C142" s="1" t="s">
        <v>362</v>
      </c>
      <c r="D142" s="1" t="str">
        <f>VLOOKUP( 8,Squads!A:E,5,0)</f>
        <v>CHE</v>
      </c>
      <c r="E142" s="1" t="str">
        <f>VLOOKUP( 3,$CX$2:$CY$5,2,0)</f>
        <v>MID</v>
      </c>
      <c r="F142" s="8">
        <v>3000000</v>
      </c>
      <c r="G142" s="1" t="s">
        <v>0</v>
      </c>
      <c r="H142" s="1">
        <v>3000000</v>
      </c>
      <c r="I142" s="1">
        <v>3000000</v>
      </c>
      <c r="J142" s="3">
        <v>3000000</v>
      </c>
      <c r="K142" s="3">
        <v>3000000</v>
      </c>
      <c r="M142" s="3">
        <v>3</v>
      </c>
      <c r="N142" s="3">
        <v>2</v>
      </c>
      <c r="O142" s="3">
        <v>98</v>
      </c>
      <c r="P142" s="3">
        <v>155</v>
      </c>
      <c r="Q142" s="3">
        <v>2</v>
      </c>
      <c r="R142" s="3">
        <v>5</v>
      </c>
      <c r="S142" s="3">
        <v>2.5</v>
      </c>
      <c r="T142" s="3">
        <v>3</v>
      </c>
      <c r="U142" s="3">
        <v>2</v>
      </c>
      <c r="V142" s="3">
        <v>2.7</v>
      </c>
      <c r="W142" s="3">
        <v>2.2000000000000002</v>
      </c>
      <c r="X142" s="3">
        <v>17328</v>
      </c>
      <c r="Y142" s="3">
        <v>1.5</v>
      </c>
      <c r="Z142" s="3">
        <v>0</v>
      </c>
      <c r="CF142" s="4"/>
      <c r="CX142" s="9"/>
      <c r="DA142"/>
      <c r="DC142"/>
      <c r="DD142" s="1"/>
      <c r="DF142" s="1"/>
      <c r="DH142" s="1"/>
      <c r="DJ142" s="1"/>
      <c r="DL142" s="1"/>
      <c r="DN142" s="1"/>
      <c r="DP142" s="1"/>
    </row>
    <row r="143" spans="1:120">
      <c r="A143">
        <v>49277</v>
      </c>
      <c r="B143" s="1" t="s">
        <v>350</v>
      </c>
      <c r="C143" s="1" t="s">
        <v>351</v>
      </c>
      <c r="D143" s="1" t="str">
        <f>VLOOKUP( 80,Squads!A:E,5,0)</f>
        <v>SWA</v>
      </c>
      <c r="E143" s="1" t="str">
        <f>VLOOKUP( 3,$CX$2:$CY$5,2,0)</f>
        <v>MID</v>
      </c>
      <c r="F143" s="8">
        <v>1800000</v>
      </c>
      <c r="G143" s="1" t="s">
        <v>0</v>
      </c>
      <c r="H143" s="1">
        <v>1500000</v>
      </c>
      <c r="I143" s="1">
        <v>1500000</v>
      </c>
      <c r="J143" s="3">
        <v>1500000</v>
      </c>
      <c r="K143" s="3">
        <v>1800000</v>
      </c>
      <c r="L143" s="3">
        <v>3</v>
      </c>
      <c r="M143" s="3">
        <v>17</v>
      </c>
      <c r="N143" s="3">
        <v>4</v>
      </c>
      <c r="O143" s="3">
        <v>66</v>
      </c>
      <c r="P143" s="3">
        <v>10</v>
      </c>
      <c r="Q143" s="3">
        <v>4</v>
      </c>
      <c r="R143" s="3">
        <v>24</v>
      </c>
      <c r="S143" s="3">
        <v>6</v>
      </c>
      <c r="T143" s="3">
        <v>18</v>
      </c>
      <c r="U143" s="3">
        <v>-1</v>
      </c>
      <c r="V143" s="3">
        <v>7</v>
      </c>
      <c r="W143" s="3">
        <v>5.4</v>
      </c>
      <c r="X143" s="3">
        <v>5378</v>
      </c>
      <c r="Y143" s="3">
        <v>0.5</v>
      </c>
      <c r="Z143" s="3">
        <v>0</v>
      </c>
      <c r="CF143" s="4"/>
      <c r="CX143" s="9"/>
      <c r="DA143"/>
      <c r="DC143"/>
      <c r="DD143" s="1"/>
      <c r="DF143" s="1"/>
      <c r="DH143" s="1"/>
      <c r="DJ143" s="1"/>
      <c r="DL143" s="1"/>
      <c r="DN143" s="1"/>
      <c r="DP143" s="1"/>
    </row>
    <row r="144" spans="1:120">
      <c r="A144">
        <v>49413</v>
      </c>
      <c r="B144" s="1" t="s">
        <v>149</v>
      </c>
      <c r="C144" s="1" t="s">
        <v>251</v>
      </c>
      <c r="D144" s="1" t="str">
        <f>VLOOKUP( 31,Squads!A:E,5,0)</f>
        <v>CRY</v>
      </c>
      <c r="E144" s="1" t="str">
        <f>VLOOKUP( 2,$CX$2:$CY$5,2,0)</f>
        <v>DEF</v>
      </c>
      <c r="F144" s="8">
        <v>2800000</v>
      </c>
      <c r="G144" s="1" t="s">
        <v>0</v>
      </c>
      <c r="H144" s="1">
        <v>3000000</v>
      </c>
      <c r="I144" s="1">
        <v>3000000</v>
      </c>
      <c r="J144" s="3">
        <v>3000000</v>
      </c>
      <c r="K144" s="3">
        <v>2800000</v>
      </c>
      <c r="L144" s="3">
        <v>-2</v>
      </c>
      <c r="M144" s="3">
        <v>3</v>
      </c>
      <c r="N144" s="3">
        <v>-1</v>
      </c>
      <c r="O144" s="3">
        <v>199</v>
      </c>
      <c r="P144" s="3">
        <v>218</v>
      </c>
      <c r="Q144" s="3">
        <v>3</v>
      </c>
      <c r="R144" s="3">
        <v>0</v>
      </c>
      <c r="S144" s="3">
        <v>0</v>
      </c>
      <c r="T144" s="3">
        <v>3</v>
      </c>
      <c r="U144" s="3">
        <v>-2</v>
      </c>
      <c r="V144" s="3">
        <v>0</v>
      </c>
      <c r="W144" s="3">
        <v>-0.6</v>
      </c>
      <c r="X144" s="3">
        <v>1468</v>
      </c>
      <c r="Y144" s="3">
        <v>0.1</v>
      </c>
      <c r="Z144" s="3">
        <v>0</v>
      </c>
      <c r="CF144" s="4"/>
      <c r="CX144" s="9"/>
      <c r="DA144"/>
      <c r="DC144"/>
      <c r="DD144" s="1"/>
      <c r="DF144" s="1"/>
      <c r="DH144" s="1"/>
      <c r="DJ144" s="1"/>
      <c r="DL144" s="1"/>
      <c r="DN144" s="1"/>
      <c r="DP144" s="1"/>
    </row>
    <row r="145" spans="1:120">
      <c r="A145">
        <v>49440</v>
      </c>
      <c r="B145" s="1" t="s">
        <v>472</v>
      </c>
      <c r="C145" s="1" t="s">
        <v>473</v>
      </c>
      <c r="D145" s="1" t="str">
        <f>VLOOKUP( 35,Squads!A:E,5,0)</f>
        <v>WBA</v>
      </c>
      <c r="E145" s="1" t="str">
        <f>VLOOKUP( 4,$CX$2:$CY$5,2,0)</f>
        <v>STR</v>
      </c>
      <c r="F145" s="8">
        <v>1000000</v>
      </c>
      <c r="G145" s="1" t="s">
        <v>978</v>
      </c>
      <c r="H145" s="1">
        <v>1000000</v>
      </c>
      <c r="I145" s="1">
        <v>1000000</v>
      </c>
      <c r="J145" s="3">
        <v>1000000</v>
      </c>
      <c r="K145" s="3">
        <v>1000000</v>
      </c>
      <c r="L145" s="3">
        <v>-1</v>
      </c>
      <c r="M145" s="3">
        <v>2</v>
      </c>
      <c r="O145" s="3">
        <v>0</v>
      </c>
      <c r="P145" s="3">
        <v>216</v>
      </c>
      <c r="Q145" s="3">
        <v>2</v>
      </c>
      <c r="R145" s="3">
        <v>1</v>
      </c>
      <c r="S145" s="3">
        <v>0.5</v>
      </c>
      <c r="T145" s="3">
        <v>2</v>
      </c>
      <c r="U145" s="3">
        <v>-1</v>
      </c>
      <c r="V145" s="3">
        <v>0.3</v>
      </c>
      <c r="W145" s="3">
        <v>0.2</v>
      </c>
      <c r="X145" s="3">
        <v>2402</v>
      </c>
      <c r="Y145" s="3">
        <v>0.2</v>
      </c>
      <c r="Z145" s="3">
        <v>0</v>
      </c>
      <c r="CP145" s="7"/>
      <c r="CR145" s="6"/>
      <c r="CX145" s="9"/>
      <c r="DA145"/>
      <c r="DC145"/>
      <c r="DD145" s="1"/>
      <c r="DF145" s="1"/>
      <c r="DH145" s="1"/>
      <c r="DJ145" s="1"/>
      <c r="DL145" s="1"/>
      <c r="DN145" s="1"/>
      <c r="DP145" s="1"/>
    </row>
    <row r="146" spans="1:120">
      <c r="A146">
        <v>49539</v>
      </c>
      <c r="B146" s="1" t="s">
        <v>38</v>
      </c>
      <c r="C146" s="1" t="s">
        <v>310</v>
      </c>
      <c r="D146" s="1" t="str">
        <f>VLOOKUP( 80,Squads!A:E,5,0)</f>
        <v>SWA</v>
      </c>
      <c r="E146" s="1" t="str">
        <f>VLOOKUP( 2,$CX$2:$CY$5,2,0)</f>
        <v>DEF</v>
      </c>
      <c r="F146" s="8">
        <v>2800000</v>
      </c>
      <c r="G146" s="1" t="s">
        <v>0</v>
      </c>
      <c r="H146" s="1">
        <v>2500000</v>
      </c>
      <c r="I146" s="1">
        <v>2500000</v>
      </c>
      <c r="J146" s="3">
        <v>2500000</v>
      </c>
      <c r="K146" s="3">
        <v>2800000</v>
      </c>
      <c r="L146" s="3">
        <v>8</v>
      </c>
      <c r="M146" s="3">
        <v>-3</v>
      </c>
      <c r="N146" s="3">
        <v>10</v>
      </c>
      <c r="O146" s="3">
        <v>6</v>
      </c>
      <c r="P146" s="3">
        <v>50</v>
      </c>
      <c r="Q146" s="3">
        <v>3</v>
      </c>
      <c r="R146" s="3">
        <v>15</v>
      </c>
      <c r="S146" s="3">
        <v>5</v>
      </c>
      <c r="T146" s="3">
        <v>10</v>
      </c>
      <c r="U146" s="3">
        <v>-3</v>
      </c>
      <c r="V146" s="3">
        <v>5</v>
      </c>
      <c r="W146" s="3">
        <v>3.8</v>
      </c>
      <c r="X146" s="3">
        <v>6389</v>
      </c>
      <c r="Y146" s="3">
        <v>0.6</v>
      </c>
      <c r="Z146" s="3">
        <v>0</v>
      </c>
      <c r="CP146" s="7"/>
      <c r="CR146" s="6"/>
      <c r="CX146" s="9"/>
      <c r="DA146"/>
      <c r="DC146"/>
      <c r="DD146" s="1"/>
      <c r="DF146" s="1"/>
      <c r="DH146" s="1"/>
      <c r="DJ146" s="1"/>
      <c r="DL146" s="1"/>
      <c r="DN146" s="1"/>
      <c r="DP146" s="1"/>
    </row>
    <row r="147" spans="1:120">
      <c r="A147">
        <v>49579</v>
      </c>
      <c r="C147" s="1" t="s">
        <v>67</v>
      </c>
      <c r="D147" s="1" t="str">
        <f>VLOOKUP( 8,Squads!A:E,5,0)</f>
        <v>CHE</v>
      </c>
      <c r="E147" s="1" t="str">
        <f>VLOOKUP( 4,$CX$2:$CY$5,2,0)</f>
        <v>STR</v>
      </c>
      <c r="F147" s="8">
        <v>3800000</v>
      </c>
      <c r="G147" s="1" t="s">
        <v>0</v>
      </c>
      <c r="H147" s="1">
        <v>4000000</v>
      </c>
      <c r="I147" s="1">
        <v>4000000</v>
      </c>
      <c r="J147" s="3">
        <v>4000000</v>
      </c>
      <c r="K147" s="3">
        <v>3800000</v>
      </c>
      <c r="M147" s="3">
        <v>2</v>
      </c>
      <c r="N147" s="3">
        <v>0</v>
      </c>
      <c r="O147" s="3">
        <v>108</v>
      </c>
      <c r="P147" s="3">
        <v>197</v>
      </c>
      <c r="Q147" s="3">
        <v>2</v>
      </c>
      <c r="R147" s="3">
        <v>2</v>
      </c>
      <c r="S147" s="3">
        <v>1</v>
      </c>
      <c r="T147" s="3">
        <v>2</v>
      </c>
      <c r="U147" s="3">
        <v>0</v>
      </c>
      <c r="V147" s="3">
        <v>2.2999999999999998</v>
      </c>
      <c r="W147" s="3">
        <v>3.4</v>
      </c>
      <c r="X147" s="3">
        <v>13020</v>
      </c>
      <c r="Y147" s="3">
        <v>1.1000000000000001</v>
      </c>
      <c r="Z147" s="3">
        <v>0</v>
      </c>
      <c r="CP147" s="7"/>
      <c r="CR147" s="6"/>
      <c r="CX147" s="9"/>
      <c r="DA147"/>
      <c r="DC147"/>
      <c r="DD147" s="1"/>
      <c r="DF147" s="1"/>
      <c r="DH147" s="1"/>
      <c r="DJ147" s="1"/>
      <c r="DL147" s="1"/>
      <c r="DN147" s="1"/>
      <c r="DP147" s="1"/>
    </row>
    <row r="148" spans="1:120">
      <c r="A148">
        <v>49944</v>
      </c>
      <c r="B148" s="1" t="s">
        <v>311</v>
      </c>
      <c r="C148" s="1" t="s">
        <v>312</v>
      </c>
      <c r="D148" s="1" t="str">
        <f>VLOOKUP( 35,Squads!A:E,5,0)</f>
        <v>WBA</v>
      </c>
      <c r="E148" s="1" t="str">
        <f>VLOOKUP( 3,$CX$2:$CY$5,2,0)</f>
        <v>MID</v>
      </c>
      <c r="F148" s="8">
        <v>1400000</v>
      </c>
      <c r="G148" s="1" t="s">
        <v>0</v>
      </c>
      <c r="H148" s="1">
        <v>1500000</v>
      </c>
      <c r="I148" s="1">
        <v>1500000</v>
      </c>
      <c r="J148" s="3">
        <v>1500000</v>
      </c>
      <c r="K148" s="3">
        <v>1400000</v>
      </c>
      <c r="L148" s="3">
        <v>3</v>
      </c>
      <c r="M148" s="3">
        <v>0</v>
      </c>
      <c r="N148" s="3">
        <v>0</v>
      </c>
      <c r="O148" s="3">
        <v>108</v>
      </c>
      <c r="P148" s="3">
        <v>178</v>
      </c>
      <c r="Q148" s="3">
        <v>4</v>
      </c>
      <c r="R148" s="3">
        <v>3</v>
      </c>
      <c r="S148" s="3">
        <v>0.8</v>
      </c>
      <c r="T148" s="3">
        <v>3</v>
      </c>
      <c r="U148" s="3">
        <v>0</v>
      </c>
      <c r="V148" s="3">
        <v>0</v>
      </c>
      <c r="W148" s="3">
        <v>1</v>
      </c>
      <c r="X148" s="3">
        <v>1214</v>
      </c>
      <c r="Y148" s="3">
        <v>0.1</v>
      </c>
      <c r="Z148" s="3">
        <v>0</v>
      </c>
      <c r="CP148" s="7"/>
      <c r="CR148" s="6"/>
      <c r="CX148" s="9"/>
      <c r="DA148"/>
      <c r="DC148"/>
      <c r="DD148" s="1"/>
      <c r="DF148" s="1"/>
      <c r="DH148" s="1"/>
      <c r="DJ148" s="1"/>
      <c r="DL148" s="1"/>
      <c r="DN148" s="1"/>
      <c r="DP148" s="1"/>
    </row>
    <row r="149" spans="1:120">
      <c r="A149">
        <v>50089</v>
      </c>
      <c r="B149" s="1" t="s">
        <v>343</v>
      </c>
      <c r="C149" s="1" t="s">
        <v>336</v>
      </c>
      <c r="D149" s="1" t="str">
        <f>VLOOKUP( 110,Squads!A:E,5,0)</f>
        <v>STK</v>
      </c>
      <c r="E149" s="1" t="str">
        <f>VLOOKUP( 2,$CX$2:$CY$5,2,0)</f>
        <v>DEF</v>
      </c>
      <c r="F149" s="8">
        <v>3000000</v>
      </c>
      <c r="G149" s="1" t="s">
        <v>0</v>
      </c>
      <c r="H149" s="1">
        <v>3000000</v>
      </c>
      <c r="I149" s="1">
        <v>3000000</v>
      </c>
      <c r="J149" s="3">
        <v>3000000</v>
      </c>
      <c r="K149" s="3">
        <v>3000000</v>
      </c>
      <c r="L149" s="3">
        <v>0</v>
      </c>
      <c r="M149" s="3">
        <v>8</v>
      </c>
      <c r="N149" s="3">
        <v>0</v>
      </c>
      <c r="O149" s="3">
        <v>108</v>
      </c>
      <c r="P149" s="3">
        <v>103</v>
      </c>
      <c r="Q149" s="3">
        <v>3</v>
      </c>
      <c r="R149" s="3">
        <v>8</v>
      </c>
      <c r="S149" s="3">
        <v>2.7</v>
      </c>
      <c r="T149" s="3">
        <v>8</v>
      </c>
      <c r="U149" s="3">
        <v>0</v>
      </c>
      <c r="V149" s="3">
        <v>2.7</v>
      </c>
      <c r="W149" s="3">
        <v>3.8</v>
      </c>
      <c r="X149" s="3">
        <v>606</v>
      </c>
      <c r="Y149" s="3">
        <v>0.1</v>
      </c>
      <c r="Z149" s="3">
        <v>0</v>
      </c>
      <c r="CP149" s="7"/>
      <c r="CR149" s="6"/>
      <c r="CX149" s="9"/>
      <c r="DA149"/>
      <c r="DC149"/>
      <c r="DD149" s="1"/>
      <c r="DF149" s="1"/>
      <c r="DH149" s="1"/>
      <c r="DJ149" s="1"/>
      <c r="DL149" s="1"/>
      <c r="DN149" s="1"/>
      <c r="DP149" s="1"/>
    </row>
    <row r="150" spans="1:120">
      <c r="A150">
        <v>50175</v>
      </c>
      <c r="B150" s="1" t="s">
        <v>60</v>
      </c>
      <c r="C150" s="1" t="s">
        <v>602</v>
      </c>
      <c r="D150" s="1" t="str">
        <f>VLOOKUP( 3,Squads!A:E,5,0)</f>
        <v>ARS</v>
      </c>
      <c r="E150" s="1" t="str">
        <f>VLOOKUP( 4,$CX$2:$CY$5,2,0)</f>
        <v>STR</v>
      </c>
      <c r="F150" s="8">
        <v>3400000</v>
      </c>
      <c r="G150" s="1" t="s">
        <v>0</v>
      </c>
      <c r="H150" s="1">
        <v>3500000</v>
      </c>
      <c r="I150" s="1">
        <v>3500000</v>
      </c>
      <c r="J150" s="3">
        <v>3500000</v>
      </c>
      <c r="K150" s="3">
        <v>3400000</v>
      </c>
      <c r="L150" s="3">
        <v>8</v>
      </c>
      <c r="M150" s="3">
        <v>0</v>
      </c>
      <c r="N150" s="3">
        <v>-1</v>
      </c>
      <c r="O150" s="3">
        <v>199</v>
      </c>
      <c r="P150" s="3">
        <v>124</v>
      </c>
      <c r="Q150" s="3">
        <v>3</v>
      </c>
      <c r="R150" s="3">
        <v>7</v>
      </c>
      <c r="S150" s="3">
        <v>2.2999999999999998</v>
      </c>
      <c r="T150" s="3">
        <v>8</v>
      </c>
      <c r="U150" s="3">
        <v>-1</v>
      </c>
      <c r="V150" s="3">
        <v>2.2999999999999998</v>
      </c>
      <c r="W150" s="3">
        <v>1.4</v>
      </c>
      <c r="X150" s="3">
        <v>10391</v>
      </c>
      <c r="Y150" s="3">
        <v>0.9</v>
      </c>
      <c r="Z150" s="3">
        <v>0</v>
      </c>
      <c r="CP150" s="7"/>
      <c r="CR150" s="6"/>
      <c r="CX150" s="9"/>
      <c r="DA150"/>
      <c r="DC150"/>
      <c r="DD150" s="1"/>
      <c r="DF150" s="1"/>
      <c r="DH150" s="1"/>
      <c r="DJ150" s="1"/>
      <c r="DL150" s="1"/>
      <c r="DN150" s="1"/>
      <c r="DP150" s="1"/>
    </row>
    <row r="151" spans="1:120">
      <c r="A151">
        <v>50229</v>
      </c>
      <c r="B151" s="1" t="s">
        <v>331</v>
      </c>
      <c r="C151" s="1" t="s">
        <v>332</v>
      </c>
      <c r="D151" s="1" t="str">
        <f>VLOOKUP( 35,Squads!A:E,5,0)</f>
        <v>WBA</v>
      </c>
      <c r="E151" s="1" t="str">
        <f>VLOOKUP( 3,$CX$2:$CY$5,2,0)</f>
        <v>MID</v>
      </c>
      <c r="F151" s="8">
        <v>3200000</v>
      </c>
      <c r="G151" s="1" t="s">
        <v>0</v>
      </c>
      <c r="H151" s="1">
        <v>3000000</v>
      </c>
      <c r="I151" s="1">
        <v>3000000</v>
      </c>
      <c r="J151" s="3">
        <v>3000000</v>
      </c>
      <c r="K151" s="3">
        <v>3200000</v>
      </c>
      <c r="L151" s="3">
        <v>3</v>
      </c>
      <c r="M151" s="3">
        <v>15</v>
      </c>
      <c r="N151" s="3">
        <v>0</v>
      </c>
      <c r="O151" s="3">
        <v>108</v>
      </c>
      <c r="P151" s="3">
        <v>33</v>
      </c>
      <c r="Q151" s="3">
        <v>4</v>
      </c>
      <c r="R151" s="3">
        <v>18</v>
      </c>
      <c r="S151" s="3">
        <v>4.5</v>
      </c>
      <c r="T151" s="3">
        <v>10</v>
      </c>
      <c r="U151" s="3">
        <v>0</v>
      </c>
      <c r="V151" s="3">
        <v>5</v>
      </c>
      <c r="W151" s="3">
        <v>6.6</v>
      </c>
      <c r="X151" s="3">
        <v>6268</v>
      </c>
      <c r="Y151" s="3">
        <v>0.5</v>
      </c>
      <c r="Z151" s="3">
        <v>0</v>
      </c>
      <c r="CP151" s="7"/>
      <c r="CR151" s="6"/>
      <c r="CX151" s="9"/>
      <c r="DA151"/>
      <c r="DC151"/>
      <c r="DD151" s="1"/>
      <c r="DF151" s="1"/>
      <c r="DH151" s="1"/>
      <c r="DJ151" s="1"/>
      <c r="DL151" s="1"/>
      <c r="DN151" s="1"/>
      <c r="DP151" s="1"/>
    </row>
    <row r="152" spans="1:120">
      <c r="A152">
        <v>50232</v>
      </c>
      <c r="B152" s="1" t="s">
        <v>748</v>
      </c>
      <c r="C152" s="1" t="s">
        <v>749</v>
      </c>
      <c r="D152" s="1" t="str">
        <f>VLOOKUP( 4,Squads!A:E,5,0)</f>
        <v>NEW</v>
      </c>
      <c r="E152" s="1" t="str">
        <f>VLOOKUP( 3,$CX$2:$CY$5,2,0)</f>
        <v>MID</v>
      </c>
      <c r="F152" s="8">
        <v>2500000</v>
      </c>
      <c r="G152" s="1" t="s">
        <v>978</v>
      </c>
      <c r="H152" s="1">
        <v>2500000</v>
      </c>
      <c r="I152" s="1">
        <v>2500000</v>
      </c>
      <c r="J152" s="3">
        <v>2500000</v>
      </c>
      <c r="K152" s="3">
        <v>2500000</v>
      </c>
      <c r="L152" s="3">
        <v>-3</v>
      </c>
      <c r="O152" s="3">
        <v>0</v>
      </c>
      <c r="P152" s="3">
        <v>364</v>
      </c>
      <c r="Q152" s="3">
        <v>1</v>
      </c>
      <c r="R152" s="3">
        <v>-3</v>
      </c>
      <c r="S152" s="3">
        <v>-3</v>
      </c>
      <c r="T152" s="3">
        <v>-3</v>
      </c>
      <c r="U152" s="3">
        <v>-3</v>
      </c>
      <c r="V152" s="3">
        <v>-1.5</v>
      </c>
      <c r="W152" s="3">
        <v>-1.5</v>
      </c>
      <c r="X152" s="3">
        <v>4227</v>
      </c>
      <c r="Y152" s="3">
        <v>0.4</v>
      </c>
      <c r="Z152" s="3">
        <v>0</v>
      </c>
      <c r="CP152" s="7"/>
      <c r="CR152" s="6"/>
      <c r="CX152" s="9"/>
      <c r="DA152"/>
      <c r="DC152"/>
      <c r="DD152" s="1"/>
      <c r="DF152" s="1"/>
      <c r="DH152" s="1"/>
      <c r="DJ152" s="1"/>
      <c r="DL152" s="1"/>
      <c r="DN152" s="1"/>
      <c r="DP152" s="1"/>
    </row>
    <row r="153" spans="1:120">
      <c r="A153">
        <v>50471</v>
      </c>
      <c r="B153" s="1" t="s">
        <v>149</v>
      </c>
      <c r="C153" s="1" t="s">
        <v>373</v>
      </c>
      <c r="D153" s="1" t="str">
        <f>VLOOKUP( 31,Squads!A:E,5,0)</f>
        <v>CRY</v>
      </c>
      <c r="E153" s="1" t="str">
        <f>VLOOKUP( 3,$CX$2:$CY$5,2,0)</f>
        <v>MID</v>
      </c>
      <c r="F153" s="8">
        <v>1800000</v>
      </c>
      <c r="G153" s="1" t="s">
        <v>0</v>
      </c>
      <c r="H153" s="1">
        <v>1500000</v>
      </c>
      <c r="I153" s="1">
        <v>1500000</v>
      </c>
      <c r="J153" s="3">
        <v>1500000</v>
      </c>
      <c r="K153" s="3">
        <v>1800000</v>
      </c>
      <c r="M153" s="3">
        <v>18</v>
      </c>
      <c r="N153" s="3">
        <v>0</v>
      </c>
      <c r="O153" s="3">
        <v>108</v>
      </c>
      <c r="P153" s="3">
        <v>33</v>
      </c>
      <c r="Q153" s="3">
        <v>3</v>
      </c>
      <c r="R153" s="3">
        <v>18</v>
      </c>
      <c r="S153" s="3">
        <v>6</v>
      </c>
      <c r="T153" s="3">
        <v>18</v>
      </c>
      <c r="U153" s="3">
        <v>0</v>
      </c>
      <c r="V153" s="3">
        <v>6</v>
      </c>
      <c r="W153" s="3">
        <v>3.6</v>
      </c>
      <c r="X153" s="3">
        <v>835</v>
      </c>
      <c r="Y153" s="3">
        <v>0.1</v>
      </c>
      <c r="Z153" s="3">
        <v>0</v>
      </c>
      <c r="CP153" s="7"/>
      <c r="CR153" s="6"/>
      <c r="CX153" s="9"/>
      <c r="DA153"/>
      <c r="DC153"/>
      <c r="DD153" s="1"/>
      <c r="DF153" s="1"/>
      <c r="DH153" s="1"/>
      <c r="DJ153" s="1"/>
      <c r="DL153" s="1"/>
      <c r="DN153" s="1"/>
      <c r="DP153" s="1"/>
    </row>
    <row r="154" spans="1:120">
      <c r="A154">
        <v>51344</v>
      </c>
      <c r="B154" s="1" t="s">
        <v>758</v>
      </c>
      <c r="C154" s="1" t="s">
        <v>759</v>
      </c>
      <c r="D154" s="1" t="str">
        <f>VLOOKUP( 38,Squads!A:E,5,0)</f>
        <v>HUD</v>
      </c>
      <c r="E154" s="1" t="str">
        <f>VLOOKUP( 3,$CX$2:$CY$5,2,0)</f>
        <v>MID</v>
      </c>
      <c r="F154" s="8">
        <v>1400000</v>
      </c>
      <c r="G154" s="1" t="s">
        <v>0</v>
      </c>
      <c r="H154" s="1">
        <v>1500000</v>
      </c>
      <c r="I154" s="1">
        <v>1500000</v>
      </c>
      <c r="J154" s="3">
        <v>1500000</v>
      </c>
      <c r="K154" s="3">
        <v>1400000</v>
      </c>
      <c r="L154" s="3">
        <v>0</v>
      </c>
      <c r="M154" s="3">
        <v>0</v>
      </c>
      <c r="N154" s="3">
        <v>0</v>
      </c>
      <c r="O154" s="3">
        <v>108</v>
      </c>
      <c r="P154" s="3">
        <v>218</v>
      </c>
      <c r="Q154" s="3">
        <v>3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888</v>
      </c>
      <c r="Y154" s="3">
        <v>0.1</v>
      </c>
      <c r="Z154" s="3">
        <v>0</v>
      </c>
      <c r="CP154" s="7"/>
      <c r="CR154" s="6"/>
      <c r="CX154" s="9"/>
      <c r="DA154"/>
      <c r="DC154"/>
      <c r="DD154" s="1"/>
      <c r="DF154" s="1"/>
      <c r="DH154" s="1"/>
      <c r="DJ154" s="1"/>
      <c r="DL154" s="1"/>
      <c r="DN154" s="1"/>
      <c r="DP154" s="1"/>
    </row>
    <row r="155" spans="1:120">
      <c r="A155">
        <v>51507</v>
      </c>
      <c r="B155" s="1" t="s">
        <v>50</v>
      </c>
      <c r="C155" s="1" t="s">
        <v>51</v>
      </c>
      <c r="D155" s="1" t="str">
        <f>VLOOKUP( 3,Squads!A:E,5,0)</f>
        <v>ARS</v>
      </c>
      <c r="E155" s="1" t="str">
        <f>VLOOKUP( 2,$CX$2:$CY$5,2,0)</f>
        <v>DEF</v>
      </c>
      <c r="F155" s="8">
        <v>4200000</v>
      </c>
      <c r="G155" s="1" t="s">
        <v>0</v>
      </c>
      <c r="H155" s="1">
        <v>4500000</v>
      </c>
      <c r="I155" s="1">
        <v>4500000</v>
      </c>
      <c r="J155" s="3">
        <v>4500000</v>
      </c>
      <c r="K155" s="3">
        <v>4200000</v>
      </c>
      <c r="N155" s="3">
        <v>-3</v>
      </c>
      <c r="O155" s="3">
        <v>235</v>
      </c>
      <c r="P155" s="3">
        <v>364</v>
      </c>
      <c r="Q155" s="3">
        <v>1</v>
      </c>
      <c r="R155" s="3">
        <v>-3</v>
      </c>
      <c r="S155" s="3">
        <v>-3</v>
      </c>
      <c r="T155" s="3">
        <v>-3</v>
      </c>
      <c r="U155" s="3">
        <v>-3</v>
      </c>
      <c r="V155" s="3">
        <v>-1.3</v>
      </c>
      <c r="W155" s="3">
        <v>-1.2</v>
      </c>
      <c r="X155" s="3">
        <v>20525</v>
      </c>
      <c r="Y155" s="3">
        <v>1.8</v>
      </c>
      <c r="Z155" s="3">
        <v>0</v>
      </c>
      <c r="CP155" s="7"/>
      <c r="CR155" s="6"/>
      <c r="CX155" s="9"/>
      <c r="DA155"/>
      <c r="DC155"/>
      <c r="DD155" s="1"/>
      <c r="DF155" s="1"/>
      <c r="DH155" s="1"/>
      <c r="DJ155" s="1"/>
      <c r="DL155" s="1"/>
      <c r="DN155" s="1"/>
      <c r="DP155" s="1"/>
    </row>
    <row r="156" spans="1:120">
      <c r="A156">
        <v>51927</v>
      </c>
      <c r="B156" s="1" t="s">
        <v>211</v>
      </c>
      <c r="C156" s="1" t="s">
        <v>325</v>
      </c>
      <c r="D156" s="1" t="str">
        <f>VLOOKUP( 90,Squads!A:E,5,0)</f>
        <v>BUR</v>
      </c>
      <c r="E156" s="1" t="str">
        <f>VLOOKUP( 2,$CX$2:$CY$5,2,0)</f>
        <v>DEF</v>
      </c>
      <c r="F156" s="8">
        <v>3000000</v>
      </c>
      <c r="G156" s="1" t="s">
        <v>0</v>
      </c>
      <c r="H156" s="1">
        <v>3000000</v>
      </c>
      <c r="I156" s="1">
        <v>3000000</v>
      </c>
      <c r="J156" s="3">
        <v>3000000</v>
      </c>
      <c r="K156" s="3">
        <v>3000000</v>
      </c>
      <c r="L156" s="3">
        <v>1</v>
      </c>
      <c r="M156" s="3">
        <v>3</v>
      </c>
      <c r="N156" s="3">
        <v>3</v>
      </c>
      <c r="O156" s="3">
        <v>71</v>
      </c>
      <c r="P156" s="3">
        <v>124</v>
      </c>
      <c r="Q156" s="3">
        <v>3</v>
      </c>
      <c r="R156" s="3">
        <v>7</v>
      </c>
      <c r="S156" s="3">
        <v>2.2999999999999998</v>
      </c>
      <c r="T156" s="3">
        <v>3</v>
      </c>
      <c r="U156" s="3">
        <v>1</v>
      </c>
      <c r="V156" s="3">
        <v>2.2999999999999998</v>
      </c>
      <c r="W156" s="3">
        <v>1.8</v>
      </c>
      <c r="X156" s="3">
        <v>9683</v>
      </c>
      <c r="Y156" s="3">
        <v>0.8</v>
      </c>
      <c r="Z156" s="3">
        <v>0</v>
      </c>
      <c r="CP156" s="7"/>
      <c r="CR156" s="6"/>
      <c r="CX156" s="9"/>
      <c r="DA156"/>
      <c r="DC156"/>
      <c r="DD156" s="1"/>
      <c r="DF156" s="1"/>
      <c r="DH156" s="1"/>
      <c r="DJ156" s="1"/>
      <c r="DL156" s="1"/>
      <c r="DN156" s="1"/>
      <c r="DP156" s="1"/>
    </row>
    <row r="157" spans="1:120">
      <c r="A157">
        <v>51938</v>
      </c>
      <c r="B157" s="1" t="s">
        <v>225</v>
      </c>
      <c r="C157" s="1" t="s">
        <v>267</v>
      </c>
      <c r="D157" s="1" t="str">
        <f>VLOOKUP( 13,Squads!A:E,5,0)</f>
        <v>LEI</v>
      </c>
      <c r="E157" s="1" t="str">
        <f>VLOOKUP( 3,$CX$2:$CY$5,2,0)</f>
        <v>MID</v>
      </c>
      <c r="F157" s="8">
        <v>2300000</v>
      </c>
      <c r="G157" s="1" t="s">
        <v>0</v>
      </c>
      <c r="H157" s="1">
        <v>2500000</v>
      </c>
      <c r="I157" s="1">
        <v>2500000</v>
      </c>
      <c r="J157" s="3">
        <v>2500000</v>
      </c>
      <c r="K157" s="3">
        <v>2300000</v>
      </c>
      <c r="L157" s="3">
        <v>2</v>
      </c>
      <c r="M157" s="3">
        <v>0</v>
      </c>
      <c r="N157" s="3">
        <v>0</v>
      </c>
      <c r="O157" s="3">
        <v>108</v>
      </c>
      <c r="P157" s="3">
        <v>197</v>
      </c>
      <c r="Q157" s="3">
        <v>3</v>
      </c>
      <c r="R157" s="3">
        <v>2</v>
      </c>
      <c r="S157" s="3">
        <v>0.7</v>
      </c>
      <c r="T157" s="3">
        <v>2</v>
      </c>
      <c r="U157" s="3">
        <v>0</v>
      </c>
      <c r="V157" s="3">
        <v>0.7</v>
      </c>
      <c r="W157" s="3">
        <v>1</v>
      </c>
      <c r="X157" s="3">
        <v>5790</v>
      </c>
      <c r="Y157" s="3">
        <v>0.5</v>
      </c>
      <c r="Z157" s="3">
        <v>0</v>
      </c>
      <c r="CP157" s="7"/>
      <c r="CR157" s="6"/>
      <c r="CX157" s="9"/>
      <c r="DA157"/>
      <c r="DC157"/>
      <c r="DD157" s="1"/>
      <c r="DF157" s="1"/>
      <c r="DH157" s="1"/>
      <c r="DJ157" s="1"/>
      <c r="DL157" s="1"/>
      <c r="DN157" s="1"/>
      <c r="DP157" s="1"/>
    </row>
    <row r="158" spans="1:120">
      <c r="A158">
        <v>51940</v>
      </c>
      <c r="B158" s="1" t="s">
        <v>3</v>
      </c>
      <c r="C158" s="1" t="s">
        <v>4</v>
      </c>
      <c r="D158" s="1" t="str">
        <f>VLOOKUP( 1,Squads!A:E,5,0)</f>
        <v>MUN</v>
      </c>
      <c r="E158" s="1" t="str">
        <f>VLOOKUP( 1,$CX$2:$CY$5,2,0)</f>
        <v>GK</v>
      </c>
      <c r="F158" s="8">
        <v>4300000</v>
      </c>
      <c r="G158" s="1" t="s">
        <v>0</v>
      </c>
      <c r="H158" s="1">
        <v>4000000</v>
      </c>
      <c r="I158" s="1">
        <v>4000000</v>
      </c>
      <c r="J158" s="3">
        <v>4000000</v>
      </c>
      <c r="K158" s="3">
        <v>4300000</v>
      </c>
      <c r="L158" s="3">
        <v>8</v>
      </c>
      <c r="M158" s="3">
        <v>5</v>
      </c>
      <c r="N158" s="3">
        <v>8</v>
      </c>
      <c r="O158" s="3">
        <v>13</v>
      </c>
      <c r="P158" s="3">
        <v>20</v>
      </c>
      <c r="Q158" s="3">
        <v>3</v>
      </c>
      <c r="R158" s="3">
        <v>21</v>
      </c>
      <c r="S158" s="3">
        <v>7</v>
      </c>
      <c r="T158" s="3">
        <v>8</v>
      </c>
      <c r="U158" s="3">
        <v>5</v>
      </c>
      <c r="V158" s="3">
        <v>7</v>
      </c>
      <c r="W158" s="3">
        <v>6.8</v>
      </c>
      <c r="X158" s="3">
        <v>334643</v>
      </c>
      <c r="Y158" s="3">
        <v>29.3</v>
      </c>
      <c r="Z158" s="3">
        <v>0</v>
      </c>
      <c r="CP158" s="7"/>
      <c r="CR158" s="6"/>
      <c r="CX158" s="9"/>
      <c r="DA158"/>
      <c r="DC158"/>
      <c r="DD158" s="1"/>
      <c r="DF158" s="1"/>
      <c r="DH158" s="1"/>
      <c r="DJ158" s="1"/>
      <c r="DL158" s="1"/>
      <c r="DN158" s="1"/>
      <c r="DP158" s="1"/>
    </row>
    <row r="159" spans="1:120">
      <c r="A159">
        <v>52153</v>
      </c>
      <c r="B159" s="1" t="s">
        <v>415</v>
      </c>
      <c r="C159" s="1" t="s">
        <v>389</v>
      </c>
      <c r="D159" s="1" t="str">
        <f>VLOOKUP( 57,Squads!A:E,5,0)</f>
        <v>WAT</v>
      </c>
      <c r="E159" s="1" t="str">
        <f>VLOOKUP( 2,$CX$2:$CY$5,2,0)</f>
        <v>DEF</v>
      </c>
      <c r="F159" s="8">
        <v>2800000</v>
      </c>
      <c r="G159" s="1" t="s">
        <v>0</v>
      </c>
      <c r="H159" s="1">
        <v>2500000</v>
      </c>
      <c r="I159" s="1">
        <v>2500000</v>
      </c>
      <c r="J159" s="3">
        <v>2500000</v>
      </c>
      <c r="K159" s="3">
        <v>2800000</v>
      </c>
      <c r="L159" s="3">
        <v>6</v>
      </c>
      <c r="M159" s="3">
        <v>7</v>
      </c>
      <c r="N159" s="3">
        <v>2</v>
      </c>
      <c r="O159" s="3">
        <v>98</v>
      </c>
      <c r="P159" s="3">
        <v>50</v>
      </c>
      <c r="Q159" s="3">
        <v>3</v>
      </c>
      <c r="R159" s="3">
        <v>15</v>
      </c>
      <c r="S159" s="3">
        <v>5</v>
      </c>
      <c r="T159" s="3">
        <v>7</v>
      </c>
      <c r="U159" s="3">
        <v>2</v>
      </c>
      <c r="V159" s="3">
        <v>5</v>
      </c>
      <c r="W159" s="3">
        <v>2.6</v>
      </c>
      <c r="X159" s="3">
        <v>4110</v>
      </c>
      <c r="Y159" s="3">
        <v>0.4</v>
      </c>
      <c r="Z159" s="3">
        <v>0</v>
      </c>
      <c r="CP159" s="7"/>
      <c r="CR159" s="6"/>
      <c r="CX159" s="9"/>
      <c r="DA159"/>
      <c r="DC159"/>
      <c r="DD159" s="1"/>
      <c r="DF159" s="1"/>
      <c r="DH159" s="1"/>
      <c r="DJ159" s="1"/>
      <c r="DL159" s="1"/>
      <c r="DN159" s="1"/>
      <c r="DP159" s="1"/>
    </row>
    <row r="160" spans="1:120">
      <c r="A160">
        <v>52940</v>
      </c>
      <c r="B160" s="1" t="s">
        <v>474</v>
      </c>
      <c r="C160" s="1" t="s">
        <v>475</v>
      </c>
      <c r="D160" s="1" t="str">
        <f>VLOOKUP( 57,Squads!A:E,5,0)</f>
        <v>WAT</v>
      </c>
      <c r="E160" s="1" t="str">
        <f>VLOOKUP( 2,$CX$2:$CY$5,2,0)</f>
        <v>DEF</v>
      </c>
      <c r="F160" s="8">
        <v>1500000</v>
      </c>
      <c r="G160" s="1" t="s">
        <v>1011</v>
      </c>
      <c r="H160" s="1">
        <v>1500000</v>
      </c>
      <c r="I160" s="1">
        <v>1500000</v>
      </c>
      <c r="J160" s="3">
        <v>1500000</v>
      </c>
      <c r="K160" s="3">
        <v>1500000</v>
      </c>
      <c r="L160" s="3">
        <v>-2</v>
      </c>
      <c r="O160" s="3">
        <v>0</v>
      </c>
      <c r="P160" s="3">
        <v>354</v>
      </c>
      <c r="Q160" s="3">
        <v>1</v>
      </c>
      <c r="R160" s="3">
        <v>-2</v>
      </c>
      <c r="S160" s="3">
        <v>-2</v>
      </c>
      <c r="T160" s="3">
        <v>-2</v>
      </c>
      <c r="U160" s="3">
        <v>-2</v>
      </c>
      <c r="V160" s="3">
        <v>0</v>
      </c>
      <c r="W160" s="3">
        <v>1</v>
      </c>
      <c r="X160" s="3">
        <v>3888</v>
      </c>
      <c r="Y160" s="3">
        <v>0.3</v>
      </c>
      <c r="Z160" s="3">
        <v>0</v>
      </c>
      <c r="CX160" s="9"/>
      <c r="DA160"/>
      <c r="DC160"/>
      <c r="DD160" s="1"/>
      <c r="DF160" s="1"/>
      <c r="DH160" s="1"/>
      <c r="DJ160" s="1"/>
      <c r="DL160" s="1"/>
      <c r="DN160" s="1"/>
      <c r="DP160" s="1"/>
    </row>
    <row r="161" spans="1:120">
      <c r="A161">
        <v>54102</v>
      </c>
      <c r="B161" s="1" t="s">
        <v>74</v>
      </c>
      <c r="C161" s="1" t="s">
        <v>188</v>
      </c>
      <c r="D161" s="1" t="str">
        <f>VLOOKUP( 3,Squads!A:E,5,0)</f>
        <v>ARS</v>
      </c>
      <c r="E161" s="1" t="str">
        <f>VLOOKUP( 3,$CX$2:$CY$5,2,0)</f>
        <v>MID</v>
      </c>
      <c r="F161" s="8">
        <v>1500000</v>
      </c>
      <c r="G161" s="1" t="s">
        <v>0</v>
      </c>
      <c r="H161" s="1">
        <v>1500000</v>
      </c>
      <c r="I161" s="1">
        <v>1500000</v>
      </c>
      <c r="J161" s="3">
        <v>1500000</v>
      </c>
      <c r="K161" s="3">
        <v>1500000</v>
      </c>
      <c r="O161" s="3">
        <v>0</v>
      </c>
      <c r="P161" s="3">
        <v>218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1.7</v>
      </c>
      <c r="W161" s="3">
        <v>1.6</v>
      </c>
      <c r="X161" s="3">
        <v>921</v>
      </c>
      <c r="Y161" s="3">
        <v>0.1</v>
      </c>
      <c r="Z161" s="3">
        <v>0</v>
      </c>
      <c r="CX161" s="9"/>
      <c r="DA161"/>
      <c r="DC161"/>
      <c r="DD161" s="1"/>
      <c r="DF161" s="1"/>
      <c r="DH161" s="1"/>
      <c r="DJ161" s="1"/>
      <c r="DL161" s="1"/>
      <c r="DN161" s="1"/>
      <c r="DP161" s="1"/>
    </row>
    <row r="162" spans="1:120">
      <c r="A162">
        <v>54284</v>
      </c>
      <c r="B162" s="1" t="s">
        <v>34</v>
      </c>
      <c r="C162" s="1" t="s">
        <v>597</v>
      </c>
      <c r="D162" s="1" t="str">
        <f>VLOOKUP( 38,Squads!A:E,5,0)</f>
        <v>HUD</v>
      </c>
      <c r="E162" s="1" t="str">
        <f>VLOOKUP( 2,$CX$2:$CY$5,2,0)</f>
        <v>DEF</v>
      </c>
      <c r="F162" s="8">
        <v>1800000</v>
      </c>
      <c r="G162" s="1" t="s">
        <v>0</v>
      </c>
      <c r="H162" s="1">
        <v>1500000</v>
      </c>
      <c r="I162" s="1">
        <v>1500000</v>
      </c>
      <c r="J162" s="3">
        <v>1500000</v>
      </c>
      <c r="K162" s="3">
        <v>1800000</v>
      </c>
      <c r="L162" s="3">
        <v>8</v>
      </c>
      <c r="M162" s="3">
        <v>8</v>
      </c>
      <c r="N162" s="3">
        <v>8</v>
      </c>
      <c r="O162" s="3">
        <v>13</v>
      </c>
      <c r="P162" s="3">
        <v>10</v>
      </c>
      <c r="Q162" s="3">
        <v>3</v>
      </c>
      <c r="R162" s="3">
        <v>24</v>
      </c>
      <c r="S162" s="3">
        <v>8</v>
      </c>
      <c r="T162" s="3">
        <v>8</v>
      </c>
      <c r="U162" s="3">
        <v>8</v>
      </c>
      <c r="V162" s="3">
        <v>8</v>
      </c>
      <c r="W162" s="3">
        <v>8</v>
      </c>
      <c r="X162" s="3">
        <v>8510</v>
      </c>
      <c r="Y162" s="3">
        <v>0.7</v>
      </c>
      <c r="Z162" s="3">
        <v>0</v>
      </c>
      <c r="CX162" s="9"/>
      <c r="DA162"/>
      <c r="DC162"/>
      <c r="DD162" s="1"/>
      <c r="DF162" s="1"/>
      <c r="DH162" s="1"/>
      <c r="DJ162" s="1"/>
      <c r="DL162" s="1"/>
      <c r="DN162" s="1"/>
      <c r="DP162" s="1"/>
    </row>
    <row r="163" spans="1:120">
      <c r="A163">
        <v>54469</v>
      </c>
      <c r="B163" s="1" t="s">
        <v>129</v>
      </c>
      <c r="C163" s="1" t="s">
        <v>275</v>
      </c>
      <c r="D163" s="1" t="str">
        <f>VLOOKUP( 91,Squads!A:E,5,0)</f>
        <v>BOU</v>
      </c>
      <c r="E163" s="1" t="str">
        <f>VLOOKUP( 2,$CX$2:$CY$5,2,0)</f>
        <v>DEF</v>
      </c>
      <c r="F163" s="8">
        <v>2200000</v>
      </c>
      <c r="G163" s="1" t="s">
        <v>0</v>
      </c>
      <c r="H163" s="1">
        <v>2500000</v>
      </c>
      <c r="I163" s="1">
        <v>2500000</v>
      </c>
      <c r="J163" s="3">
        <v>2500000</v>
      </c>
      <c r="K163" s="3">
        <v>2200000</v>
      </c>
      <c r="L163" s="3">
        <v>0</v>
      </c>
      <c r="M163" s="3">
        <v>0</v>
      </c>
      <c r="N163" s="3">
        <v>-2</v>
      </c>
      <c r="O163" s="3">
        <v>226</v>
      </c>
      <c r="P163" s="3">
        <v>354</v>
      </c>
      <c r="Q163" s="3">
        <v>4</v>
      </c>
      <c r="R163" s="3">
        <v>-2</v>
      </c>
      <c r="S163" s="3">
        <v>-0.5</v>
      </c>
      <c r="T163" s="3">
        <v>1</v>
      </c>
      <c r="U163" s="3">
        <v>-2</v>
      </c>
      <c r="V163" s="3">
        <v>-0.7</v>
      </c>
      <c r="W163" s="3">
        <v>-0.8</v>
      </c>
      <c r="X163" s="3">
        <v>4256</v>
      </c>
      <c r="Y163" s="3">
        <v>0.4</v>
      </c>
      <c r="Z163" s="3">
        <v>0</v>
      </c>
      <c r="CX163" s="9"/>
      <c r="DA163"/>
      <c r="DC163"/>
      <c r="DD163" s="1"/>
      <c r="DF163" s="1"/>
      <c r="DH163" s="1"/>
      <c r="DJ163" s="1"/>
      <c r="DL163" s="1"/>
      <c r="DN163" s="1"/>
      <c r="DP163" s="1"/>
    </row>
    <row r="164" spans="1:120">
      <c r="A164">
        <v>54484</v>
      </c>
      <c r="B164" s="1" t="s">
        <v>965</v>
      </c>
      <c r="C164" s="1" t="s">
        <v>966</v>
      </c>
      <c r="D164" s="1" t="str">
        <f>VLOOKUP( 57,Squads!A:E,5,0)</f>
        <v>WAT</v>
      </c>
      <c r="E164" s="1" t="str">
        <f>VLOOKUP( 2,$CX$2:$CY$5,2,0)</f>
        <v>DEF</v>
      </c>
      <c r="F164" s="8">
        <v>1800000</v>
      </c>
      <c r="G164" s="1" t="s">
        <v>0</v>
      </c>
      <c r="H164" s="1">
        <v>1500000</v>
      </c>
      <c r="I164" s="1">
        <v>1500000</v>
      </c>
      <c r="J164" s="3">
        <v>1500000</v>
      </c>
      <c r="K164" s="3">
        <v>1800000</v>
      </c>
      <c r="L164" s="3">
        <v>-2</v>
      </c>
      <c r="M164" s="3">
        <v>8</v>
      </c>
      <c r="N164" s="3">
        <v>8</v>
      </c>
      <c r="O164" s="3">
        <v>13</v>
      </c>
      <c r="P164" s="3">
        <v>57</v>
      </c>
      <c r="Q164" s="3">
        <v>3</v>
      </c>
      <c r="R164" s="3">
        <v>14</v>
      </c>
      <c r="S164" s="3">
        <v>4.7</v>
      </c>
      <c r="T164" s="3">
        <v>8</v>
      </c>
      <c r="U164" s="3">
        <v>-2</v>
      </c>
      <c r="V164" s="3">
        <v>4.7</v>
      </c>
      <c r="W164" s="3">
        <v>4.7</v>
      </c>
      <c r="X164" s="3">
        <v>1055</v>
      </c>
      <c r="Y164" s="3">
        <v>0.1</v>
      </c>
      <c r="Z164" s="3">
        <v>0</v>
      </c>
      <c r="CX164" s="9"/>
      <c r="DA164"/>
      <c r="DC164"/>
      <c r="DD164" s="1"/>
      <c r="DF164" s="1"/>
      <c r="DH164" s="1"/>
      <c r="DJ164" s="1"/>
      <c r="DL164" s="1"/>
      <c r="DN164" s="1"/>
      <c r="DP164" s="1"/>
    </row>
    <row r="165" spans="1:120">
      <c r="A165">
        <v>54513</v>
      </c>
      <c r="B165" s="1" t="s">
        <v>955</v>
      </c>
      <c r="C165" s="1" t="s">
        <v>956</v>
      </c>
      <c r="D165" s="1" t="str">
        <f>VLOOKUP( 13,Squads!A:E,5,0)</f>
        <v>LEI</v>
      </c>
      <c r="E165" s="1" t="str">
        <f>VLOOKUP( 3,$CX$2:$CY$5,2,0)</f>
        <v>MID</v>
      </c>
      <c r="F165" s="8">
        <v>2500000</v>
      </c>
      <c r="G165" s="1" t="s">
        <v>1011</v>
      </c>
      <c r="H165" s="1">
        <v>2500000</v>
      </c>
      <c r="I165" s="1">
        <v>2500000</v>
      </c>
      <c r="J165" s="3">
        <v>2500000</v>
      </c>
      <c r="K165" s="3">
        <v>2500000</v>
      </c>
      <c r="O165" s="3">
        <v>0</v>
      </c>
      <c r="P165" s="3">
        <v>218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833</v>
      </c>
      <c r="Y165" s="3">
        <v>0.1</v>
      </c>
      <c r="Z165" s="3">
        <v>0</v>
      </c>
      <c r="CX165" s="9"/>
      <c r="DA165"/>
      <c r="DC165"/>
      <c r="DD165" s="1"/>
      <c r="DF165" s="1"/>
      <c r="DH165" s="1"/>
      <c r="DJ165" s="1"/>
      <c r="DL165" s="1"/>
      <c r="DN165" s="1"/>
      <c r="DP165" s="1"/>
    </row>
    <row r="166" spans="1:120">
      <c r="A166">
        <v>54756</v>
      </c>
      <c r="B166" s="1" t="s">
        <v>144</v>
      </c>
      <c r="C166" s="1" t="s">
        <v>145</v>
      </c>
      <c r="D166" s="1" t="str">
        <f>VLOOKUP( 6,Squads!A:E,5,0)</f>
        <v>TOT</v>
      </c>
      <c r="E166" s="1" t="str">
        <f>VLOOKUP( 3,$CX$2:$CY$5,2,0)</f>
        <v>MID</v>
      </c>
      <c r="F166" s="8">
        <v>3000000</v>
      </c>
      <c r="G166" s="1" t="s">
        <v>0</v>
      </c>
      <c r="H166" s="1">
        <v>3000000</v>
      </c>
      <c r="I166" s="1">
        <v>3000000</v>
      </c>
      <c r="J166" s="3">
        <v>3000000</v>
      </c>
      <c r="K166" s="3">
        <v>3000000</v>
      </c>
      <c r="L166" s="3">
        <v>0</v>
      </c>
      <c r="M166" s="3">
        <v>3</v>
      </c>
      <c r="O166" s="3">
        <v>0</v>
      </c>
      <c r="P166" s="3">
        <v>178</v>
      </c>
      <c r="Q166" s="3">
        <v>2</v>
      </c>
      <c r="R166" s="3">
        <v>3</v>
      </c>
      <c r="S166" s="3">
        <v>1.5</v>
      </c>
      <c r="T166" s="3">
        <v>3</v>
      </c>
      <c r="U166" s="3">
        <v>0</v>
      </c>
      <c r="V166" s="3">
        <v>3.7</v>
      </c>
      <c r="W166" s="3">
        <v>2.8</v>
      </c>
      <c r="X166" s="3">
        <v>6782</v>
      </c>
      <c r="Y166" s="3">
        <v>0.6</v>
      </c>
      <c r="Z166" s="3">
        <v>0</v>
      </c>
      <c r="CX166" s="9"/>
      <c r="DA166"/>
      <c r="DC166"/>
      <c r="DD166" s="1"/>
      <c r="DF166" s="1"/>
      <c r="DH166" s="1"/>
      <c r="DJ166" s="1"/>
      <c r="DL166" s="1"/>
      <c r="DN166" s="1"/>
      <c r="DP166" s="1"/>
    </row>
    <row r="167" spans="1:120">
      <c r="A167">
        <v>54861</v>
      </c>
      <c r="B167" s="1" t="s">
        <v>54</v>
      </c>
      <c r="C167" s="1" t="s">
        <v>246</v>
      </c>
      <c r="D167" s="1" t="str">
        <f>VLOOKUP( 31,Squads!A:E,5,0)</f>
        <v>CRY</v>
      </c>
      <c r="E167" s="1" t="str">
        <f>VLOOKUP( 4,$CX$2:$CY$5,2,0)</f>
        <v>STR</v>
      </c>
      <c r="F167" s="8">
        <v>4200000</v>
      </c>
      <c r="G167" s="1" t="s">
        <v>0</v>
      </c>
      <c r="H167" s="1">
        <v>4500000</v>
      </c>
      <c r="I167" s="1">
        <v>4500000</v>
      </c>
      <c r="J167" s="3">
        <v>4500000</v>
      </c>
      <c r="K167" s="3">
        <v>4200000</v>
      </c>
      <c r="L167" s="3">
        <v>0</v>
      </c>
      <c r="M167" s="3">
        <v>-1</v>
      </c>
      <c r="N167" s="3">
        <v>-1</v>
      </c>
      <c r="O167" s="3">
        <v>199</v>
      </c>
      <c r="P167" s="3">
        <v>354</v>
      </c>
      <c r="Q167" s="3">
        <v>3</v>
      </c>
      <c r="R167" s="3">
        <v>-2</v>
      </c>
      <c r="S167" s="3">
        <v>-0.7</v>
      </c>
      <c r="T167" s="3">
        <v>0</v>
      </c>
      <c r="U167" s="3">
        <v>-1</v>
      </c>
      <c r="V167" s="3">
        <v>-0.7</v>
      </c>
      <c r="W167" s="3">
        <v>2.6</v>
      </c>
      <c r="X167" s="3">
        <v>33602</v>
      </c>
      <c r="Y167" s="3">
        <v>2.9</v>
      </c>
      <c r="Z167" s="3">
        <v>0</v>
      </c>
      <c r="CX167" s="9"/>
      <c r="DA167"/>
      <c r="DC167"/>
      <c r="DD167" s="1"/>
      <c r="DF167" s="1"/>
      <c r="DH167" s="1"/>
      <c r="DJ167" s="1"/>
      <c r="DL167" s="1"/>
      <c r="DN167" s="1"/>
      <c r="DP167" s="1"/>
    </row>
    <row r="168" spans="1:120">
      <c r="A168">
        <v>54908</v>
      </c>
      <c r="B168" s="1" t="s">
        <v>294</v>
      </c>
      <c r="C168" s="1" t="s">
        <v>295</v>
      </c>
      <c r="D168" s="1" t="str">
        <f>VLOOKUP( 35,Squads!A:E,5,0)</f>
        <v>WBA</v>
      </c>
      <c r="E168" s="1" t="str">
        <f>VLOOKUP( 3,$CX$2:$CY$5,2,0)</f>
        <v>MID</v>
      </c>
      <c r="F168" s="8">
        <v>2000000</v>
      </c>
      <c r="G168" s="1" t="s">
        <v>0</v>
      </c>
      <c r="H168" s="1">
        <v>2000000</v>
      </c>
      <c r="I168" s="1">
        <v>2000000</v>
      </c>
      <c r="J168" s="3">
        <v>2000000</v>
      </c>
      <c r="K168" s="3">
        <v>2000000</v>
      </c>
      <c r="M168" s="3">
        <v>0</v>
      </c>
      <c r="O168" s="3">
        <v>0</v>
      </c>
      <c r="P168" s="3">
        <v>218</v>
      </c>
      <c r="Q168" s="3">
        <v>1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2.6</v>
      </c>
      <c r="X168" s="3">
        <v>2421</v>
      </c>
      <c r="Y168" s="3">
        <v>0.2</v>
      </c>
      <c r="Z168" s="3">
        <v>0</v>
      </c>
      <c r="CX168" s="9"/>
      <c r="DA168"/>
      <c r="DC168"/>
      <c r="DD168" s="1"/>
      <c r="DF168" s="1"/>
      <c r="DH168" s="1"/>
      <c r="DJ168" s="1"/>
      <c r="DL168" s="1"/>
      <c r="DN168" s="1"/>
      <c r="DP168" s="1"/>
    </row>
    <row r="169" spans="1:120">
      <c r="A169">
        <v>55037</v>
      </c>
      <c r="B169" s="1" t="s">
        <v>257</v>
      </c>
      <c r="C169" s="1" t="s">
        <v>258</v>
      </c>
      <c r="D169" s="1" t="str">
        <f>VLOOKUP( 21,Squads!A:E,5,0)</f>
        <v>WHU</v>
      </c>
      <c r="E169" s="1" t="str">
        <f>VLOOKUP( 3,$CX$2:$CY$5,2,0)</f>
        <v>MID</v>
      </c>
      <c r="F169" s="8">
        <v>1900000</v>
      </c>
      <c r="G169" s="1" t="s">
        <v>0</v>
      </c>
      <c r="H169" s="1">
        <v>2000000</v>
      </c>
      <c r="I169" s="1">
        <v>2000000</v>
      </c>
      <c r="J169" s="3">
        <v>2000000</v>
      </c>
      <c r="K169" s="3">
        <v>1900000</v>
      </c>
      <c r="M169" s="3">
        <v>0</v>
      </c>
      <c r="N169" s="3">
        <v>0</v>
      </c>
      <c r="O169" s="3">
        <v>108</v>
      </c>
      <c r="P169" s="3">
        <v>218</v>
      </c>
      <c r="Q169" s="3">
        <v>2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>
        <v>0.6</v>
      </c>
      <c r="X169" s="3">
        <v>817</v>
      </c>
      <c r="Y169" s="3">
        <v>0.1</v>
      </c>
      <c r="Z169" s="3">
        <v>0</v>
      </c>
      <c r="CX169" s="9"/>
      <c r="DA169"/>
      <c r="DC169"/>
      <c r="DD169" s="1"/>
      <c r="DF169" s="1"/>
      <c r="DH169" s="1"/>
      <c r="DJ169" s="1"/>
      <c r="DL169" s="1"/>
      <c r="DN169" s="1"/>
      <c r="DP169" s="1"/>
    </row>
    <row r="170" spans="1:120">
      <c r="A170">
        <v>55422</v>
      </c>
      <c r="B170" s="1" t="s">
        <v>90</v>
      </c>
      <c r="C170" s="1" t="s">
        <v>91</v>
      </c>
      <c r="D170" s="1" t="str">
        <f>VLOOKUP( 11,Squads!A:E,5,0)</f>
        <v>EVE</v>
      </c>
      <c r="E170" s="1" t="str">
        <f>VLOOKUP( 3,$CX$2:$CY$5,2,0)</f>
        <v>MID</v>
      </c>
      <c r="F170" s="8">
        <v>4400000</v>
      </c>
      <c r="G170" s="1" t="s">
        <v>0</v>
      </c>
      <c r="H170" s="1">
        <v>4500000</v>
      </c>
      <c r="I170" s="1">
        <v>4500000</v>
      </c>
      <c r="J170" s="3">
        <v>4500000</v>
      </c>
      <c r="K170" s="3">
        <v>4400000</v>
      </c>
      <c r="M170" s="3">
        <v>8</v>
      </c>
      <c r="N170" s="3">
        <v>0</v>
      </c>
      <c r="O170" s="3">
        <v>108</v>
      </c>
      <c r="P170" s="3">
        <v>103</v>
      </c>
      <c r="Q170" s="3">
        <v>3</v>
      </c>
      <c r="R170" s="3">
        <v>8</v>
      </c>
      <c r="S170" s="3">
        <v>2.7</v>
      </c>
      <c r="T170" s="3">
        <v>8</v>
      </c>
      <c r="U170" s="3">
        <v>0</v>
      </c>
      <c r="V170" s="3">
        <v>2.7</v>
      </c>
      <c r="W170" s="3">
        <v>4.2</v>
      </c>
      <c r="X170" s="3">
        <v>87284</v>
      </c>
      <c r="Y170" s="3">
        <v>7.7</v>
      </c>
      <c r="Z170" s="3">
        <v>0</v>
      </c>
      <c r="CX170" s="9"/>
      <c r="DA170"/>
      <c r="DC170"/>
      <c r="DD170" s="1"/>
      <c r="DF170" s="1"/>
      <c r="DH170" s="1"/>
      <c r="DJ170" s="1"/>
      <c r="DL170" s="1"/>
      <c r="DN170" s="1"/>
      <c r="DP170" s="1"/>
    </row>
    <row r="171" spans="1:120">
      <c r="A171">
        <v>55459</v>
      </c>
      <c r="B171" s="1" t="s">
        <v>22</v>
      </c>
      <c r="C171" s="1" t="s">
        <v>23</v>
      </c>
      <c r="D171" s="1" t="str">
        <f>VLOOKUP( 21,Squads!A:E,5,0)</f>
        <v>WHU</v>
      </c>
      <c r="E171" s="1" t="str">
        <f>VLOOKUP( 2,$CX$2:$CY$5,2,0)</f>
        <v>DEF</v>
      </c>
      <c r="F171" s="8">
        <v>2200000</v>
      </c>
      <c r="G171" s="1" t="s">
        <v>0</v>
      </c>
      <c r="H171" s="1">
        <v>2500000</v>
      </c>
      <c r="I171" s="1">
        <v>2500000</v>
      </c>
      <c r="J171" s="3">
        <v>2500000</v>
      </c>
      <c r="K171" s="3">
        <v>2200000</v>
      </c>
      <c r="L171" s="3">
        <v>-3</v>
      </c>
      <c r="M171" s="3">
        <v>-2</v>
      </c>
      <c r="N171" s="3">
        <v>-2</v>
      </c>
      <c r="O171" s="3">
        <v>226</v>
      </c>
      <c r="P171" s="3">
        <v>373</v>
      </c>
      <c r="Q171" s="3">
        <v>3</v>
      </c>
      <c r="R171" s="3">
        <v>-7</v>
      </c>
      <c r="S171" s="3">
        <v>-2.2999999999999998</v>
      </c>
      <c r="T171" s="3">
        <v>-2</v>
      </c>
      <c r="U171" s="3">
        <v>-3</v>
      </c>
      <c r="V171" s="3">
        <v>-2.2999999999999998</v>
      </c>
      <c r="W171" s="3">
        <v>-1.8</v>
      </c>
      <c r="X171" s="3">
        <v>15559</v>
      </c>
      <c r="Y171" s="3">
        <v>1.4</v>
      </c>
      <c r="Z171" s="3">
        <v>0</v>
      </c>
      <c r="CX171" s="9"/>
      <c r="DA171"/>
      <c r="DC171"/>
      <c r="DD171" s="1"/>
      <c r="DF171" s="1"/>
      <c r="DH171" s="1"/>
      <c r="DJ171" s="1"/>
      <c r="DL171" s="1"/>
      <c r="DN171" s="1"/>
      <c r="DP171" s="1"/>
    </row>
    <row r="172" spans="1:120">
      <c r="A172">
        <v>55494</v>
      </c>
      <c r="B172" s="1" t="s">
        <v>83</v>
      </c>
      <c r="C172" s="1" t="s">
        <v>291</v>
      </c>
      <c r="D172" s="1" t="str">
        <f>VLOOKUP( 31,Squads!A:E,5,0)</f>
        <v>CRY</v>
      </c>
      <c r="E172" s="1" t="str">
        <f>VLOOKUP( 2,$CX$2:$CY$5,2,0)</f>
        <v>DEF</v>
      </c>
      <c r="F172" s="8">
        <v>2200000</v>
      </c>
      <c r="G172" s="1" t="s">
        <v>0</v>
      </c>
      <c r="H172" s="1">
        <v>2500000</v>
      </c>
      <c r="I172" s="1">
        <v>2500000</v>
      </c>
      <c r="J172" s="3">
        <v>2500000</v>
      </c>
      <c r="K172" s="3">
        <v>2200000</v>
      </c>
      <c r="L172" s="3">
        <v>-2</v>
      </c>
      <c r="M172" s="3">
        <v>0</v>
      </c>
      <c r="N172" s="3">
        <v>-2</v>
      </c>
      <c r="O172" s="3">
        <v>226</v>
      </c>
      <c r="P172" s="3">
        <v>369</v>
      </c>
      <c r="Q172" s="3">
        <v>4</v>
      </c>
      <c r="R172" s="3">
        <v>-4</v>
      </c>
      <c r="S172" s="3">
        <v>-1</v>
      </c>
      <c r="T172" s="3">
        <v>0</v>
      </c>
      <c r="U172" s="3">
        <v>-2</v>
      </c>
      <c r="V172" s="3">
        <v>-0.7</v>
      </c>
      <c r="W172" s="3">
        <v>-0.2</v>
      </c>
      <c r="X172" s="3">
        <v>2704</v>
      </c>
      <c r="Y172" s="3">
        <v>0.2</v>
      </c>
      <c r="Z172" s="3">
        <v>0</v>
      </c>
      <c r="CX172" s="9"/>
      <c r="DA172"/>
      <c r="DC172"/>
      <c r="DD172" s="1"/>
      <c r="DF172" s="1"/>
      <c r="DH172" s="1"/>
      <c r="DJ172" s="1"/>
      <c r="DL172" s="1"/>
      <c r="DN172" s="1"/>
      <c r="DP172" s="1"/>
    </row>
    <row r="173" spans="1:120">
      <c r="A173">
        <v>55605</v>
      </c>
      <c r="B173" s="1" t="s">
        <v>24</v>
      </c>
      <c r="C173" s="1" t="s">
        <v>25</v>
      </c>
      <c r="D173" s="1" t="str">
        <f>VLOOKUP( 6,Squads!A:E,5,0)</f>
        <v>TOT</v>
      </c>
      <c r="E173" s="1" t="str">
        <f>VLOOKUP( 2,$CX$2:$CY$5,2,0)</f>
        <v>DEF</v>
      </c>
      <c r="F173" s="8">
        <v>5200000</v>
      </c>
      <c r="G173" s="1" t="s">
        <v>0</v>
      </c>
      <c r="H173" s="1">
        <v>5500000</v>
      </c>
      <c r="I173" s="1">
        <v>5500000</v>
      </c>
      <c r="J173" s="3">
        <v>5500000</v>
      </c>
      <c r="K173" s="3">
        <v>5200000</v>
      </c>
      <c r="L173" s="3">
        <v>8</v>
      </c>
      <c r="M173" s="3">
        <v>-2</v>
      </c>
      <c r="N173" s="3">
        <v>0</v>
      </c>
      <c r="O173" s="3">
        <v>108</v>
      </c>
      <c r="P173" s="3">
        <v>139</v>
      </c>
      <c r="Q173" s="3">
        <v>3</v>
      </c>
      <c r="R173" s="3">
        <v>6</v>
      </c>
      <c r="S173" s="3">
        <v>2</v>
      </c>
      <c r="T173" s="3">
        <v>8</v>
      </c>
      <c r="U173" s="3">
        <v>-2</v>
      </c>
      <c r="V173" s="3">
        <v>2</v>
      </c>
      <c r="W173" s="3">
        <v>3.8</v>
      </c>
      <c r="X173" s="3">
        <v>103003</v>
      </c>
      <c r="Y173" s="3">
        <v>9</v>
      </c>
      <c r="Z173" s="3">
        <v>0</v>
      </c>
      <c r="CX173" s="9"/>
      <c r="DA173"/>
      <c r="DC173"/>
      <c r="DD173" s="1"/>
      <c r="DF173" s="1"/>
      <c r="DH173" s="1"/>
      <c r="DJ173" s="1"/>
      <c r="DL173" s="1"/>
      <c r="DN173" s="1"/>
      <c r="DP173" s="1"/>
    </row>
    <row r="174" spans="1:120">
      <c r="A174">
        <v>55829</v>
      </c>
      <c r="B174" s="1" t="s">
        <v>363</v>
      </c>
      <c r="C174" s="1" t="s">
        <v>364</v>
      </c>
      <c r="D174" s="1" t="str">
        <f>VLOOKUP( 35,Squads!A:E,5,0)</f>
        <v>WBA</v>
      </c>
      <c r="E174" s="1" t="str">
        <f>VLOOKUP( 3,$CX$2:$CY$5,2,0)</f>
        <v>MID</v>
      </c>
      <c r="F174" s="8">
        <v>1000000</v>
      </c>
      <c r="G174" s="1" t="s">
        <v>0</v>
      </c>
      <c r="H174" s="1">
        <v>1000000</v>
      </c>
      <c r="I174" s="1">
        <v>1000000</v>
      </c>
      <c r="J174" s="3">
        <v>1000000</v>
      </c>
      <c r="K174" s="3">
        <v>1000000</v>
      </c>
      <c r="L174" s="3">
        <v>2</v>
      </c>
      <c r="N174" s="3">
        <v>0</v>
      </c>
      <c r="O174" s="3">
        <v>108</v>
      </c>
      <c r="P174" s="3">
        <v>197</v>
      </c>
      <c r="Q174" s="3">
        <v>2</v>
      </c>
      <c r="R174" s="3">
        <v>2</v>
      </c>
      <c r="S174" s="3">
        <v>1</v>
      </c>
      <c r="T174" s="3">
        <v>2</v>
      </c>
      <c r="U174" s="3">
        <v>0</v>
      </c>
      <c r="V174" s="3">
        <v>0.3</v>
      </c>
      <c r="W174" s="3">
        <v>-0.2</v>
      </c>
      <c r="X174" s="3">
        <v>950</v>
      </c>
      <c r="Y174" s="3">
        <v>0.1</v>
      </c>
      <c r="Z174" s="3">
        <v>0</v>
      </c>
      <c r="CX174" s="9"/>
      <c r="DA174"/>
      <c r="DC174"/>
      <c r="DD174" s="1"/>
      <c r="DF174" s="1"/>
      <c r="DH174" s="1"/>
      <c r="DJ174" s="1"/>
      <c r="DL174" s="1"/>
      <c r="DN174" s="1"/>
      <c r="DP174" s="1"/>
    </row>
    <row r="175" spans="1:120">
      <c r="A175">
        <v>55909</v>
      </c>
      <c r="B175" s="1" t="s">
        <v>34</v>
      </c>
      <c r="C175" s="1" t="s">
        <v>35</v>
      </c>
      <c r="D175" s="1" t="str">
        <f>VLOOKUP( 1,Squads!A:E,5,0)</f>
        <v>MUN</v>
      </c>
      <c r="E175" s="1" t="str">
        <f>VLOOKUP( 2,$CX$2:$CY$5,2,0)</f>
        <v>DEF</v>
      </c>
      <c r="F175" s="8">
        <v>4000000</v>
      </c>
      <c r="G175" s="1" t="s">
        <v>0</v>
      </c>
      <c r="H175" s="1">
        <v>4000000</v>
      </c>
      <c r="I175" s="1">
        <v>4000000</v>
      </c>
      <c r="J175" s="3">
        <v>4000000</v>
      </c>
      <c r="K175" s="3">
        <v>4000000</v>
      </c>
      <c r="O175" s="3">
        <v>0</v>
      </c>
      <c r="P175" s="3">
        <v>218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2.6</v>
      </c>
      <c r="X175" s="3">
        <v>38553</v>
      </c>
      <c r="Y175" s="3">
        <v>3.4</v>
      </c>
      <c r="Z175" s="3">
        <v>0</v>
      </c>
      <c r="CX175" s="9"/>
      <c r="DA175"/>
      <c r="DC175"/>
      <c r="DD175" s="1"/>
      <c r="DF175" s="1"/>
      <c r="DH175" s="1"/>
      <c r="DJ175" s="1"/>
      <c r="DL175" s="1"/>
      <c r="DN175" s="1"/>
      <c r="DP175" s="1"/>
    </row>
    <row r="176" spans="1:120">
      <c r="A176">
        <v>56192</v>
      </c>
      <c r="B176" s="1" t="s">
        <v>283</v>
      </c>
      <c r="C176" s="1" t="s">
        <v>284</v>
      </c>
      <c r="D176" s="1" t="str">
        <f>VLOOKUP( 11,Squads!A:E,5,0)</f>
        <v>EVE</v>
      </c>
      <c r="E176" s="1" t="str">
        <f>VLOOKUP( 2,$CX$2:$CY$5,2,0)</f>
        <v>DEF</v>
      </c>
      <c r="F176" s="8">
        <v>2000000</v>
      </c>
      <c r="G176" s="1" t="s">
        <v>0</v>
      </c>
      <c r="H176" s="1">
        <v>2000000</v>
      </c>
      <c r="I176" s="1">
        <v>2000000</v>
      </c>
      <c r="J176" s="3">
        <v>2000000</v>
      </c>
      <c r="K176" s="3">
        <v>2000000</v>
      </c>
      <c r="L176" s="3">
        <v>12</v>
      </c>
      <c r="M176" s="3">
        <v>3</v>
      </c>
      <c r="O176" s="3">
        <v>0</v>
      </c>
      <c r="P176" s="3">
        <v>50</v>
      </c>
      <c r="Q176" s="3">
        <v>3</v>
      </c>
      <c r="R176" s="3">
        <v>15</v>
      </c>
      <c r="S176" s="3">
        <v>5</v>
      </c>
      <c r="T176" s="3">
        <v>8</v>
      </c>
      <c r="U176" s="3">
        <v>3</v>
      </c>
      <c r="V176" s="3">
        <v>5</v>
      </c>
      <c r="W176" s="3">
        <v>2.8</v>
      </c>
      <c r="X176" s="3">
        <v>47849</v>
      </c>
      <c r="Y176" s="3">
        <v>4.2</v>
      </c>
      <c r="Z176" s="3">
        <v>0</v>
      </c>
      <c r="CX176" s="9"/>
      <c r="DA176"/>
      <c r="DC176"/>
      <c r="DD176" s="1"/>
      <c r="DF176" s="1"/>
      <c r="DH176" s="1"/>
      <c r="DJ176" s="1"/>
      <c r="DL176" s="1"/>
      <c r="DN176" s="1"/>
      <c r="DP176" s="1"/>
    </row>
    <row r="177" spans="1:120">
      <c r="A177">
        <v>56864</v>
      </c>
      <c r="B177" s="1" t="s">
        <v>148</v>
      </c>
      <c r="C177" s="1" t="s">
        <v>269</v>
      </c>
      <c r="D177" s="1" t="str">
        <f>VLOOKUP( 3,Squads!A:E,5,0)</f>
        <v>ARS</v>
      </c>
      <c r="E177" s="1" t="str">
        <f>VLOOKUP( 3,$CX$2:$CY$5,2,0)</f>
        <v>MID</v>
      </c>
      <c r="F177" s="8">
        <v>1000000</v>
      </c>
      <c r="G177" s="1" t="s">
        <v>0</v>
      </c>
      <c r="H177" s="1">
        <v>1000000</v>
      </c>
      <c r="I177" s="1">
        <v>1000000</v>
      </c>
      <c r="J177" s="3">
        <v>1000000</v>
      </c>
      <c r="K177" s="3">
        <v>1000000</v>
      </c>
      <c r="N177" s="3">
        <v>0</v>
      </c>
      <c r="O177" s="3">
        <v>108</v>
      </c>
      <c r="P177" s="3">
        <v>218</v>
      </c>
      <c r="Q177" s="3">
        <v>1</v>
      </c>
      <c r="R177" s="3">
        <v>0</v>
      </c>
      <c r="S177" s="3">
        <v>0</v>
      </c>
      <c r="T177" s="3">
        <v>0</v>
      </c>
      <c r="U177" s="3">
        <v>0</v>
      </c>
      <c r="V177" s="3">
        <v>0.7</v>
      </c>
      <c r="W177" s="3">
        <v>0.2</v>
      </c>
      <c r="X177" s="3">
        <v>1180</v>
      </c>
      <c r="Y177" s="3">
        <v>0.1</v>
      </c>
      <c r="Z177" s="3">
        <v>0</v>
      </c>
      <c r="CX177" s="9"/>
      <c r="DA177"/>
      <c r="DC177"/>
      <c r="DD177" s="1"/>
      <c r="DF177" s="1"/>
      <c r="DH177" s="1"/>
      <c r="DJ177" s="1"/>
      <c r="DL177" s="1"/>
      <c r="DN177" s="1"/>
      <c r="DP177" s="1"/>
    </row>
    <row r="178" spans="1:120">
      <c r="A178">
        <v>56872</v>
      </c>
      <c r="B178" s="1" t="s">
        <v>386</v>
      </c>
      <c r="C178" s="1" t="s">
        <v>387</v>
      </c>
      <c r="D178" s="1" t="str">
        <f>VLOOKUP( 91,Squads!A:E,5,0)</f>
        <v>BOU</v>
      </c>
      <c r="E178" s="1" t="str">
        <f>VLOOKUP( 3,$CX$2:$CY$5,2,0)</f>
        <v>MID</v>
      </c>
      <c r="F178" s="8">
        <v>3500000</v>
      </c>
      <c r="G178" s="1" t="s">
        <v>1011</v>
      </c>
      <c r="H178" s="1">
        <v>3500000</v>
      </c>
      <c r="I178" s="1">
        <v>3500000</v>
      </c>
      <c r="J178" s="3">
        <v>3500000</v>
      </c>
      <c r="K178" s="3">
        <v>3500000</v>
      </c>
      <c r="O178" s="3">
        <v>0</v>
      </c>
      <c r="P178" s="3">
        <v>218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1.7</v>
      </c>
      <c r="W178" s="3">
        <v>2.6</v>
      </c>
      <c r="X178" s="3">
        <v>413</v>
      </c>
      <c r="Y178" s="3">
        <v>0</v>
      </c>
      <c r="Z178" s="3">
        <v>0</v>
      </c>
      <c r="CX178" s="9"/>
      <c r="DA178"/>
      <c r="DC178"/>
      <c r="DD178" s="1"/>
      <c r="DF178" s="1"/>
      <c r="DH178" s="1"/>
      <c r="DJ178" s="1"/>
      <c r="DL178" s="1"/>
      <c r="DN178" s="1"/>
      <c r="DP178" s="1"/>
    </row>
    <row r="179" spans="1:120">
      <c r="A179">
        <v>56917</v>
      </c>
      <c r="B179" s="1" t="s">
        <v>315</v>
      </c>
      <c r="C179" s="1" t="s">
        <v>316</v>
      </c>
      <c r="D179" s="1" t="str">
        <f>VLOOKUP( 91,Squads!A:E,5,0)</f>
        <v>BOU</v>
      </c>
      <c r="E179" s="1" t="str">
        <f>VLOOKUP( 2,$CX$2:$CY$5,2,0)</f>
        <v>DEF</v>
      </c>
      <c r="F179" s="8">
        <v>2700000</v>
      </c>
      <c r="G179" s="1" t="s">
        <v>0</v>
      </c>
      <c r="H179" s="1">
        <v>3000000</v>
      </c>
      <c r="I179" s="1">
        <v>3000000</v>
      </c>
      <c r="J179" s="3">
        <v>3000000</v>
      </c>
      <c r="K179" s="3">
        <v>2700000</v>
      </c>
      <c r="L179" s="3">
        <v>0</v>
      </c>
      <c r="M179" s="3">
        <v>-2</v>
      </c>
      <c r="N179" s="3">
        <v>-2</v>
      </c>
      <c r="O179" s="3">
        <v>226</v>
      </c>
      <c r="P179" s="3">
        <v>369</v>
      </c>
      <c r="Q179" s="3">
        <v>4</v>
      </c>
      <c r="R179" s="3">
        <v>-4</v>
      </c>
      <c r="S179" s="3">
        <v>-1</v>
      </c>
      <c r="T179" s="3">
        <v>0</v>
      </c>
      <c r="U179" s="3">
        <v>-2</v>
      </c>
      <c r="V179" s="3">
        <v>-1.3</v>
      </c>
      <c r="W179" s="3">
        <v>0.8</v>
      </c>
      <c r="X179" s="3">
        <v>4228</v>
      </c>
      <c r="Y179" s="3">
        <v>0.4</v>
      </c>
      <c r="Z179" s="3">
        <v>0</v>
      </c>
      <c r="CX179" s="9"/>
      <c r="DA179"/>
      <c r="DC179"/>
      <c r="DD179" s="1"/>
      <c r="DF179" s="1"/>
      <c r="DH179" s="1"/>
      <c r="DJ179" s="1"/>
      <c r="DL179" s="1"/>
      <c r="DN179" s="1"/>
      <c r="DP179" s="1"/>
    </row>
    <row r="180" spans="1:120">
      <c r="A180">
        <v>56979</v>
      </c>
      <c r="B180" s="1" t="s">
        <v>132</v>
      </c>
      <c r="C180" s="1" t="s">
        <v>213</v>
      </c>
      <c r="D180" s="1" t="str">
        <f>VLOOKUP( 14,Squads!A:E,5,0)</f>
        <v>LIV</v>
      </c>
      <c r="E180" s="1" t="str">
        <f>VLOOKUP( 3,$CX$2:$CY$5,2,0)</f>
        <v>MID</v>
      </c>
      <c r="F180" s="8">
        <v>3500000</v>
      </c>
      <c r="G180" s="1" t="s">
        <v>0</v>
      </c>
      <c r="H180" s="1">
        <v>3500000</v>
      </c>
      <c r="I180" s="1">
        <v>3500000</v>
      </c>
      <c r="J180" s="3">
        <v>3500000</v>
      </c>
      <c r="K180" s="3">
        <v>3500000</v>
      </c>
      <c r="L180" s="3">
        <v>3</v>
      </c>
      <c r="M180" s="3">
        <v>6</v>
      </c>
      <c r="N180" s="3">
        <v>3</v>
      </c>
      <c r="O180" s="3">
        <v>71</v>
      </c>
      <c r="P180" s="3">
        <v>71</v>
      </c>
      <c r="Q180" s="3">
        <v>5</v>
      </c>
      <c r="R180" s="3">
        <v>12</v>
      </c>
      <c r="S180" s="3">
        <v>2.4</v>
      </c>
      <c r="T180" s="3">
        <v>4</v>
      </c>
      <c r="U180" s="3">
        <v>0</v>
      </c>
      <c r="V180" s="3">
        <v>3</v>
      </c>
      <c r="W180" s="3">
        <v>2.4</v>
      </c>
      <c r="X180" s="3">
        <v>11175</v>
      </c>
      <c r="Y180" s="3">
        <v>1</v>
      </c>
      <c r="Z180" s="3">
        <v>0</v>
      </c>
      <c r="CX180" s="9"/>
      <c r="DA180"/>
      <c r="DC180"/>
      <c r="DD180" s="1"/>
      <c r="DF180" s="1"/>
      <c r="DH180" s="1"/>
      <c r="DJ180" s="1"/>
      <c r="DL180" s="1"/>
      <c r="DN180" s="1"/>
      <c r="DP180" s="1"/>
    </row>
    <row r="181" spans="1:120">
      <c r="A181">
        <v>56983</v>
      </c>
      <c r="B181" s="1" t="s">
        <v>331</v>
      </c>
      <c r="C181" s="1" t="s">
        <v>256</v>
      </c>
      <c r="D181" s="1" t="str">
        <f>VLOOKUP( 4,Squads!A:E,5,0)</f>
        <v>NEW</v>
      </c>
      <c r="E181" s="1" t="str">
        <f>VLOOKUP( 3,$CX$2:$CY$5,2,0)</f>
        <v>MID</v>
      </c>
      <c r="F181" s="8">
        <v>2900000</v>
      </c>
      <c r="G181" s="1" t="s">
        <v>0</v>
      </c>
      <c r="H181" s="1">
        <v>3000000</v>
      </c>
      <c r="I181" s="1">
        <v>3000000</v>
      </c>
      <c r="J181" s="3">
        <v>3000000</v>
      </c>
      <c r="K181" s="3">
        <v>2900000</v>
      </c>
      <c r="L181" s="3">
        <v>-1</v>
      </c>
      <c r="M181" s="3">
        <v>-1</v>
      </c>
      <c r="N181" s="3">
        <v>5</v>
      </c>
      <c r="O181" s="3">
        <v>48</v>
      </c>
      <c r="P181" s="3">
        <v>178</v>
      </c>
      <c r="Q181" s="3">
        <v>4</v>
      </c>
      <c r="R181" s="3">
        <v>3</v>
      </c>
      <c r="S181" s="3">
        <v>0.8</v>
      </c>
      <c r="T181" s="3">
        <v>5</v>
      </c>
      <c r="U181" s="3">
        <v>-1</v>
      </c>
      <c r="V181" s="3">
        <v>1.3</v>
      </c>
      <c r="W181" s="3">
        <v>0.6</v>
      </c>
      <c r="X181" s="3">
        <v>6913</v>
      </c>
      <c r="Y181" s="3">
        <v>0.6</v>
      </c>
      <c r="Z181" s="3">
        <v>0</v>
      </c>
      <c r="CX181" s="9"/>
      <c r="DA181"/>
      <c r="DC181"/>
      <c r="DD181" s="1"/>
      <c r="DF181" s="1"/>
      <c r="DH181" s="1"/>
      <c r="DJ181" s="1"/>
      <c r="DL181" s="1"/>
      <c r="DN181" s="1"/>
      <c r="DP181" s="1"/>
    </row>
    <row r="182" spans="1:120">
      <c r="A182">
        <v>57001</v>
      </c>
      <c r="B182" s="1" t="s">
        <v>214</v>
      </c>
      <c r="C182" s="1" t="s">
        <v>416</v>
      </c>
      <c r="D182" s="1" t="str">
        <f>VLOOKUP( 80,Squads!A:E,5,0)</f>
        <v>SWA</v>
      </c>
      <c r="E182" s="1" t="str">
        <f>VLOOKUP( 4,$CX$2:$CY$5,2,0)</f>
        <v>STR</v>
      </c>
      <c r="F182" s="8">
        <v>2500000</v>
      </c>
      <c r="G182" s="1" t="s">
        <v>0</v>
      </c>
      <c r="H182" s="1">
        <v>2500000</v>
      </c>
      <c r="I182" s="1">
        <v>2500000</v>
      </c>
      <c r="J182" s="3">
        <v>2500000</v>
      </c>
      <c r="K182" s="3">
        <v>2500000</v>
      </c>
      <c r="O182" s="3">
        <v>0</v>
      </c>
      <c r="P182" s="3">
        <v>218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-0.3</v>
      </c>
      <c r="W182" s="3">
        <v>0.4</v>
      </c>
      <c r="X182" s="3">
        <v>964</v>
      </c>
      <c r="Y182" s="3">
        <v>0.1</v>
      </c>
      <c r="Z182" s="3">
        <v>0</v>
      </c>
      <c r="CX182" s="9"/>
      <c r="DA182"/>
      <c r="DC182"/>
      <c r="DD182" s="1"/>
      <c r="DF182" s="1"/>
      <c r="DH182" s="1"/>
      <c r="DJ182" s="1"/>
      <c r="DL182" s="1"/>
      <c r="DN182" s="1"/>
      <c r="DP182" s="1"/>
    </row>
    <row r="183" spans="1:120">
      <c r="A183">
        <v>57134</v>
      </c>
      <c r="B183" s="1" t="s">
        <v>417</v>
      </c>
      <c r="C183" s="1" t="s">
        <v>418</v>
      </c>
      <c r="D183" s="1" t="str">
        <f>VLOOKUP( 35,Squads!A:E,5,0)</f>
        <v>WBA</v>
      </c>
      <c r="E183" s="1" t="str">
        <f>VLOOKUP( 4,$CX$2:$CY$5,2,0)</f>
        <v>STR</v>
      </c>
      <c r="F183" s="8">
        <v>2600000</v>
      </c>
      <c r="G183" s="1" t="s">
        <v>0</v>
      </c>
      <c r="H183" s="1">
        <v>2500000</v>
      </c>
      <c r="I183" s="1">
        <v>2500000</v>
      </c>
      <c r="J183" s="3">
        <v>2500000</v>
      </c>
      <c r="K183" s="3">
        <v>2600000</v>
      </c>
      <c r="L183" s="3">
        <v>0</v>
      </c>
      <c r="M183" s="3">
        <v>10</v>
      </c>
      <c r="N183" s="3">
        <v>-1</v>
      </c>
      <c r="O183" s="3">
        <v>199</v>
      </c>
      <c r="P183" s="3">
        <v>95</v>
      </c>
      <c r="Q183" s="3">
        <v>4</v>
      </c>
      <c r="R183" s="3">
        <v>9</v>
      </c>
      <c r="S183" s="3">
        <v>2.2999999999999998</v>
      </c>
      <c r="T183" s="3">
        <v>10</v>
      </c>
      <c r="U183" s="3">
        <v>-1</v>
      </c>
      <c r="V183" s="3">
        <v>3</v>
      </c>
      <c r="W183" s="3">
        <v>3.8</v>
      </c>
      <c r="X183" s="3">
        <v>3158</v>
      </c>
      <c r="Y183" s="3">
        <v>0.3</v>
      </c>
      <c r="Z183" s="3">
        <v>0</v>
      </c>
      <c r="CX183" s="9"/>
      <c r="DA183"/>
      <c r="DC183"/>
      <c r="DD183" s="1"/>
      <c r="DF183" s="1"/>
      <c r="DH183" s="1"/>
      <c r="DJ183" s="1"/>
      <c r="DL183" s="1"/>
      <c r="DN183" s="1"/>
      <c r="DP183" s="1"/>
    </row>
    <row r="184" spans="1:120">
      <c r="A184">
        <v>57145</v>
      </c>
      <c r="B184" s="1" t="s">
        <v>354</v>
      </c>
      <c r="C184" s="1" t="s">
        <v>419</v>
      </c>
      <c r="D184" s="1" t="str">
        <f>VLOOKUP( 80,Squads!A:E,5,0)</f>
        <v>SWA</v>
      </c>
      <c r="E184" s="1" t="str">
        <f>VLOOKUP( 2,$CX$2:$CY$5,2,0)</f>
        <v>DEF</v>
      </c>
      <c r="F184" s="8">
        <v>2600000</v>
      </c>
      <c r="G184" s="1" t="s">
        <v>0</v>
      </c>
      <c r="H184" s="1">
        <v>2500000</v>
      </c>
      <c r="I184" s="1">
        <v>2500000</v>
      </c>
      <c r="J184" s="3">
        <v>2500000</v>
      </c>
      <c r="K184" s="3">
        <v>2600000</v>
      </c>
      <c r="L184" s="3">
        <v>8</v>
      </c>
      <c r="M184" s="3">
        <v>-3</v>
      </c>
      <c r="N184" s="3">
        <v>5</v>
      </c>
      <c r="O184" s="3">
        <v>48</v>
      </c>
      <c r="P184" s="3">
        <v>87</v>
      </c>
      <c r="Q184" s="3">
        <v>3</v>
      </c>
      <c r="R184" s="3">
        <v>10</v>
      </c>
      <c r="S184" s="3">
        <v>3.3</v>
      </c>
      <c r="T184" s="3">
        <v>8</v>
      </c>
      <c r="U184" s="3">
        <v>-3</v>
      </c>
      <c r="V184" s="3">
        <v>3.3</v>
      </c>
      <c r="W184" s="3">
        <v>4.5999999999999996</v>
      </c>
      <c r="X184" s="3">
        <v>3025</v>
      </c>
      <c r="Y184" s="3">
        <v>0.3</v>
      </c>
      <c r="Z184" s="3">
        <v>0</v>
      </c>
      <c r="CX184" s="9"/>
      <c r="DA184"/>
      <c r="DC184"/>
      <c r="DD184" s="1"/>
      <c r="DF184" s="1"/>
      <c r="DH184" s="1"/>
      <c r="DJ184" s="1"/>
      <c r="DL184" s="1"/>
      <c r="DN184" s="1"/>
      <c r="DP184" s="1"/>
    </row>
    <row r="185" spans="1:120">
      <c r="A185">
        <v>57249</v>
      </c>
      <c r="B185" s="1" t="s">
        <v>7</v>
      </c>
      <c r="C185" s="1" t="s">
        <v>8</v>
      </c>
      <c r="D185" s="1" t="str">
        <f>VLOOKUP( 1,Squads!A:E,5,0)</f>
        <v>MUN</v>
      </c>
      <c r="E185" s="1" t="str">
        <f>VLOOKUP( 3,$CX$2:$CY$5,2,0)</f>
        <v>MID</v>
      </c>
      <c r="F185" s="8">
        <v>4800000</v>
      </c>
      <c r="G185" s="1" t="s">
        <v>0</v>
      </c>
      <c r="H185" s="1">
        <v>4500000</v>
      </c>
      <c r="I185" s="1">
        <v>4500000</v>
      </c>
      <c r="J185" s="3">
        <v>4500000</v>
      </c>
      <c r="K185" s="3">
        <v>4800000</v>
      </c>
      <c r="L185" s="3">
        <v>12</v>
      </c>
      <c r="M185" s="3">
        <v>12</v>
      </c>
      <c r="N185" s="3">
        <v>4</v>
      </c>
      <c r="O185" s="3">
        <v>66</v>
      </c>
      <c r="P185" s="3">
        <v>6</v>
      </c>
      <c r="Q185" s="3">
        <v>3</v>
      </c>
      <c r="R185" s="3">
        <v>28</v>
      </c>
      <c r="S185" s="3">
        <v>9.3000000000000007</v>
      </c>
      <c r="T185" s="3">
        <v>12</v>
      </c>
      <c r="U185" s="3">
        <v>4</v>
      </c>
      <c r="V185" s="3">
        <v>9.3000000000000007</v>
      </c>
      <c r="W185" s="3">
        <v>7</v>
      </c>
      <c r="X185" s="3">
        <v>240307</v>
      </c>
      <c r="Y185" s="3">
        <v>21.1</v>
      </c>
      <c r="Z185" s="3">
        <v>0</v>
      </c>
      <c r="CX185" s="9"/>
      <c r="DA185"/>
      <c r="DC185"/>
      <c r="DD185" s="1"/>
      <c r="DF185" s="1"/>
      <c r="DH185" s="1"/>
      <c r="DJ185" s="1"/>
      <c r="DL185" s="1"/>
      <c r="DN185" s="1"/>
      <c r="DP185" s="1"/>
    </row>
    <row r="186" spans="1:120">
      <c r="A186">
        <v>57328</v>
      </c>
      <c r="B186" s="1" t="s">
        <v>18</v>
      </c>
      <c r="C186" s="1" t="s">
        <v>19</v>
      </c>
      <c r="D186" s="1" t="str">
        <f>VLOOKUP( 14,Squads!A:E,5,0)</f>
        <v>LIV</v>
      </c>
      <c r="E186" s="1" t="str">
        <f>VLOOKUP( 2,$CX$2:$CY$5,2,0)</f>
        <v>DEF</v>
      </c>
      <c r="F186" s="8">
        <v>3500000</v>
      </c>
      <c r="G186" s="1" t="s">
        <v>1011</v>
      </c>
      <c r="H186" s="1">
        <v>3500000</v>
      </c>
      <c r="I186" s="1">
        <v>3500000</v>
      </c>
      <c r="J186" s="3">
        <v>3500000</v>
      </c>
      <c r="K186" s="3">
        <v>3500000</v>
      </c>
      <c r="O186" s="3">
        <v>0</v>
      </c>
      <c r="P186" s="3">
        <v>218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-0.3</v>
      </c>
      <c r="W186" s="3">
        <v>0.4</v>
      </c>
      <c r="X186" s="3">
        <v>14556</v>
      </c>
      <c r="Y186" s="3">
        <v>1.3</v>
      </c>
      <c r="Z186" s="3">
        <v>0</v>
      </c>
      <c r="CX186" s="9"/>
      <c r="DA186"/>
      <c r="DC186"/>
      <c r="DD186" s="1"/>
      <c r="DF186" s="1"/>
      <c r="DH186" s="1"/>
      <c r="DJ186" s="1"/>
      <c r="DL186" s="1"/>
      <c r="DN186" s="1"/>
      <c r="DP186" s="1"/>
    </row>
    <row r="187" spans="1:120">
      <c r="A187">
        <v>57410</v>
      </c>
      <c r="B187" s="1" t="s">
        <v>80</v>
      </c>
      <c r="C187" s="1" t="s">
        <v>81</v>
      </c>
      <c r="D187" s="1" t="str">
        <f>VLOOKUP( 43,Squads!A:E,5,0)</f>
        <v>MCI</v>
      </c>
      <c r="E187" s="1" t="str">
        <f>VLOOKUP( 2,$CX$2:$CY$5,2,0)</f>
        <v>DEF</v>
      </c>
      <c r="F187" s="8">
        <v>4800000</v>
      </c>
      <c r="G187" s="1" t="s">
        <v>0</v>
      </c>
      <c r="H187" s="1">
        <v>4500000</v>
      </c>
      <c r="I187" s="1">
        <v>4500000</v>
      </c>
      <c r="J187" s="3">
        <v>4500000</v>
      </c>
      <c r="K187" s="3">
        <v>4800000</v>
      </c>
      <c r="L187" s="3">
        <v>8</v>
      </c>
      <c r="M187" s="3">
        <v>8</v>
      </c>
      <c r="N187" s="3">
        <v>7</v>
      </c>
      <c r="O187" s="3">
        <v>45</v>
      </c>
      <c r="P187" s="3">
        <v>16</v>
      </c>
      <c r="Q187" s="3">
        <v>3</v>
      </c>
      <c r="R187" s="3">
        <v>23</v>
      </c>
      <c r="S187" s="3">
        <v>7.7</v>
      </c>
      <c r="T187" s="3">
        <v>8</v>
      </c>
      <c r="U187" s="3">
        <v>7</v>
      </c>
      <c r="V187" s="3">
        <v>7.7</v>
      </c>
      <c r="W187" s="3">
        <v>4.2</v>
      </c>
      <c r="X187" s="3">
        <v>97847</v>
      </c>
      <c r="Y187" s="3">
        <v>8.6</v>
      </c>
      <c r="Z187" s="3">
        <v>0</v>
      </c>
      <c r="CX187" s="9"/>
      <c r="DA187"/>
      <c r="DC187"/>
      <c r="DD187" s="1"/>
      <c r="DF187" s="1"/>
      <c r="DH187" s="1"/>
      <c r="DJ187" s="1"/>
      <c r="DL187" s="1"/>
      <c r="DN187" s="1"/>
      <c r="DP187" s="1"/>
    </row>
    <row r="188" spans="1:120">
      <c r="A188">
        <v>57513</v>
      </c>
      <c r="B188" s="1" t="s">
        <v>967</v>
      </c>
      <c r="C188" s="1" t="s">
        <v>968</v>
      </c>
      <c r="D188" s="1" t="str">
        <f>VLOOKUP( 38,Squads!A:E,5,0)</f>
        <v>HUD</v>
      </c>
      <c r="E188" s="1" t="str">
        <f>VLOOKUP( 1,$CX$2:$CY$5,2,0)</f>
        <v>GK</v>
      </c>
      <c r="F188" s="8">
        <v>1800000</v>
      </c>
      <c r="G188" s="1" t="s">
        <v>0</v>
      </c>
      <c r="H188" s="1">
        <v>1500000</v>
      </c>
      <c r="I188" s="1">
        <v>1500000</v>
      </c>
      <c r="J188" s="3">
        <v>1500000</v>
      </c>
      <c r="K188" s="3">
        <v>1800000</v>
      </c>
      <c r="L188" s="3">
        <v>8</v>
      </c>
      <c r="M188" s="3">
        <v>8</v>
      </c>
      <c r="N188" s="3">
        <v>8</v>
      </c>
      <c r="O188" s="3">
        <v>13</v>
      </c>
      <c r="P188" s="3">
        <v>10</v>
      </c>
      <c r="Q188" s="3">
        <v>3</v>
      </c>
      <c r="R188" s="3">
        <v>24</v>
      </c>
      <c r="S188" s="3">
        <v>8</v>
      </c>
      <c r="T188" s="3">
        <v>8</v>
      </c>
      <c r="U188" s="3">
        <v>8</v>
      </c>
      <c r="V188" s="3">
        <v>8</v>
      </c>
      <c r="W188" s="3">
        <v>8</v>
      </c>
      <c r="X188" s="3">
        <v>9924</v>
      </c>
      <c r="Y188" s="3">
        <v>0.9</v>
      </c>
      <c r="Z188" s="3">
        <v>0</v>
      </c>
      <c r="CX188" s="9"/>
      <c r="DA188"/>
      <c r="DC188"/>
      <c r="DD188" s="1"/>
      <c r="DF188" s="1"/>
      <c r="DH188" s="1"/>
      <c r="DJ188" s="1"/>
      <c r="DL188" s="1"/>
      <c r="DN188" s="1"/>
      <c r="DP188" s="1"/>
    </row>
    <row r="189" spans="1:120">
      <c r="A189">
        <v>57531</v>
      </c>
      <c r="B189" s="1" t="s">
        <v>104</v>
      </c>
      <c r="C189" s="1" t="s">
        <v>105</v>
      </c>
      <c r="D189" s="1" t="str">
        <f>VLOOKUP( 21,Squads!A:E,5,0)</f>
        <v>WHU</v>
      </c>
      <c r="E189" s="1" t="str">
        <f>VLOOKUP( 3,$CX$2:$CY$5,2,0)</f>
        <v>MID</v>
      </c>
      <c r="F189" s="8">
        <v>3800000</v>
      </c>
      <c r="G189" s="1" t="s">
        <v>0</v>
      </c>
      <c r="H189" s="1">
        <v>4000000</v>
      </c>
      <c r="I189" s="1">
        <v>4000000</v>
      </c>
      <c r="J189" s="3">
        <v>4000000</v>
      </c>
      <c r="K189" s="3">
        <v>3800000</v>
      </c>
      <c r="M189" s="3">
        <v>3</v>
      </c>
      <c r="N189" s="3">
        <v>0</v>
      </c>
      <c r="O189" s="3">
        <v>108</v>
      </c>
      <c r="P189" s="3">
        <v>178</v>
      </c>
      <c r="Q189" s="3">
        <v>2</v>
      </c>
      <c r="R189" s="3">
        <v>3</v>
      </c>
      <c r="S189" s="3">
        <v>1.5</v>
      </c>
      <c r="T189" s="3">
        <v>3</v>
      </c>
      <c r="U189" s="3">
        <v>0</v>
      </c>
      <c r="V189" s="3">
        <v>5.3</v>
      </c>
      <c r="W189" s="3">
        <v>3.2</v>
      </c>
      <c r="X189" s="3">
        <v>5619</v>
      </c>
      <c r="Y189" s="3">
        <v>0.5</v>
      </c>
      <c r="Z189" s="3">
        <v>0</v>
      </c>
      <c r="CX189" s="9"/>
      <c r="DA189"/>
      <c r="DC189"/>
      <c r="DD189" s="1"/>
      <c r="DF189" s="1"/>
      <c r="DH189" s="1"/>
      <c r="DJ189" s="1"/>
      <c r="DL189" s="1"/>
      <c r="DN189" s="1"/>
      <c r="DP189" s="1"/>
    </row>
    <row r="190" spans="1:120">
      <c r="A190">
        <v>58621</v>
      </c>
      <c r="B190" s="1" t="s">
        <v>38</v>
      </c>
      <c r="C190" s="1" t="s">
        <v>39</v>
      </c>
      <c r="D190" s="1" t="str">
        <f>VLOOKUP( 43,Squads!A:E,5,0)</f>
        <v>MCI</v>
      </c>
      <c r="E190" s="1" t="str">
        <f>VLOOKUP( 2,$CX$2:$CY$5,2,0)</f>
        <v>DEF</v>
      </c>
      <c r="F190" s="8">
        <v>4500000</v>
      </c>
      <c r="G190" s="1" t="s">
        <v>978</v>
      </c>
      <c r="H190" s="1">
        <v>4500000</v>
      </c>
      <c r="I190" s="1">
        <v>4500000</v>
      </c>
      <c r="J190" s="3">
        <v>4500000</v>
      </c>
      <c r="K190" s="3">
        <v>4500000</v>
      </c>
      <c r="L190" s="3">
        <v>5</v>
      </c>
      <c r="M190" s="3">
        <v>-3</v>
      </c>
      <c r="O190" s="3">
        <v>0</v>
      </c>
      <c r="P190" s="3">
        <v>197</v>
      </c>
      <c r="Q190" s="3">
        <v>2</v>
      </c>
      <c r="R190" s="3">
        <v>2</v>
      </c>
      <c r="S190" s="3">
        <v>1</v>
      </c>
      <c r="T190" s="3">
        <v>5</v>
      </c>
      <c r="U190" s="3">
        <v>-3</v>
      </c>
      <c r="V190" s="3">
        <v>1.3</v>
      </c>
      <c r="W190" s="3">
        <v>0.8</v>
      </c>
      <c r="X190" s="3">
        <v>243206</v>
      </c>
      <c r="Y190" s="3">
        <v>21.3</v>
      </c>
      <c r="Z190" s="3">
        <v>0</v>
      </c>
      <c r="CX190" s="9"/>
      <c r="DA190"/>
      <c r="DC190"/>
      <c r="DD190" s="1"/>
      <c r="DF190" s="1"/>
      <c r="DH190" s="1"/>
      <c r="DJ190" s="1"/>
      <c r="DL190" s="1"/>
      <c r="DN190" s="1"/>
      <c r="DP190" s="1"/>
    </row>
    <row r="191" spans="1:120">
      <c r="A191">
        <v>58771</v>
      </c>
      <c r="B191" s="1" t="s">
        <v>74</v>
      </c>
      <c r="C191" s="1" t="s">
        <v>786</v>
      </c>
      <c r="D191" s="1" t="str">
        <f>VLOOKUP( 4,Squads!A:E,5,0)</f>
        <v>NEW</v>
      </c>
      <c r="E191" s="1" t="str">
        <f>VLOOKUP( 3,$CX$2:$CY$5,2,0)</f>
        <v>MID</v>
      </c>
      <c r="F191" s="8">
        <v>2500000</v>
      </c>
      <c r="G191" s="1" t="s">
        <v>0</v>
      </c>
      <c r="H191" s="1">
        <v>2500000</v>
      </c>
      <c r="I191" s="1">
        <v>2500000</v>
      </c>
      <c r="J191" s="3">
        <v>2500000</v>
      </c>
      <c r="K191" s="3">
        <v>2500000</v>
      </c>
      <c r="O191" s="3">
        <v>0</v>
      </c>
      <c r="P191" s="3">
        <v>218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>
        <v>0</v>
      </c>
      <c r="X191" s="3">
        <v>320</v>
      </c>
      <c r="Y191" s="3">
        <v>0</v>
      </c>
      <c r="Z191" s="3">
        <v>0</v>
      </c>
      <c r="CX191" s="9"/>
      <c r="DA191"/>
      <c r="DC191"/>
      <c r="DD191" s="1"/>
      <c r="DF191" s="1"/>
      <c r="DH191" s="1"/>
      <c r="DJ191" s="1"/>
      <c r="DL191" s="1"/>
      <c r="DN191" s="1"/>
      <c r="DP191" s="1"/>
    </row>
    <row r="192" spans="1:120">
      <c r="A192">
        <v>58786</v>
      </c>
      <c r="B192" s="1" t="s">
        <v>175</v>
      </c>
      <c r="C192" s="1" t="s">
        <v>176</v>
      </c>
      <c r="D192" s="1" t="str">
        <f>VLOOKUP( 31,Squads!A:E,5,0)</f>
        <v>CRY</v>
      </c>
      <c r="E192" s="1" t="str">
        <f>VLOOKUP( 2,$CX$2:$CY$5,2,0)</f>
        <v>DEF</v>
      </c>
      <c r="F192" s="8">
        <v>1400000</v>
      </c>
      <c r="G192" s="1" t="s">
        <v>0</v>
      </c>
      <c r="H192" s="1">
        <v>1500000</v>
      </c>
      <c r="I192" s="1">
        <v>1500000</v>
      </c>
      <c r="J192" s="3">
        <v>1500000</v>
      </c>
      <c r="K192" s="3">
        <v>1400000</v>
      </c>
      <c r="M192" s="3">
        <v>0</v>
      </c>
      <c r="N192" s="3">
        <v>-1</v>
      </c>
      <c r="O192" s="3">
        <v>199</v>
      </c>
      <c r="P192" s="3">
        <v>342</v>
      </c>
      <c r="Q192" s="3">
        <v>2</v>
      </c>
      <c r="R192" s="3">
        <v>-1</v>
      </c>
      <c r="S192" s="3">
        <v>-0.5</v>
      </c>
      <c r="T192" s="3">
        <v>0</v>
      </c>
      <c r="U192" s="3">
        <v>-1</v>
      </c>
      <c r="V192" s="3">
        <v>0.3</v>
      </c>
      <c r="W192" s="3">
        <v>-0.2</v>
      </c>
      <c r="X192" s="3">
        <v>8275</v>
      </c>
      <c r="Y192" s="3">
        <v>0.7</v>
      </c>
      <c r="Z192" s="3">
        <v>0</v>
      </c>
      <c r="CX192" s="9"/>
      <c r="DA192"/>
      <c r="DC192"/>
      <c r="DD192" s="1"/>
      <c r="DF192" s="1"/>
      <c r="DH192" s="1"/>
      <c r="DJ192" s="1"/>
      <c r="DL192" s="1"/>
      <c r="DN192" s="1"/>
      <c r="DP192" s="1"/>
    </row>
    <row r="193" spans="1:120">
      <c r="A193">
        <v>58822</v>
      </c>
      <c r="B193" s="1" t="s">
        <v>187</v>
      </c>
      <c r="C193" s="1" t="s">
        <v>420</v>
      </c>
      <c r="D193" s="1" t="str">
        <f>VLOOKUP( 20,Squads!A:E,5,0)</f>
        <v>SOU</v>
      </c>
      <c r="E193" s="1" t="str">
        <f>VLOOKUP( 2,$CX$2:$CY$5,2,0)</f>
        <v>DEF</v>
      </c>
      <c r="F193" s="8">
        <v>3100000</v>
      </c>
      <c r="G193" s="1" t="s">
        <v>0</v>
      </c>
      <c r="H193" s="1">
        <v>3000000</v>
      </c>
      <c r="I193" s="1">
        <v>3000000</v>
      </c>
      <c r="J193" s="3">
        <v>3000000</v>
      </c>
      <c r="K193" s="3">
        <v>3100000</v>
      </c>
      <c r="L193" s="3">
        <v>5</v>
      </c>
      <c r="M193" s="3">
        <v>-1</v>
      </c>
      <c r="N193" s="3">
        <v>5</v>
      </c>
      <c r="O193" s="3">
        <v>48</v>
      </c>
      <c r="P193" s="3">
        <v>95</v>
      </c>
      <c r="Q193" s="3">
        <v>3</v>
      </c>
      <c r="R193" s="3">
        <v>9</v>
      </c>
      <c r="S193" s="3">
        <v>3</v>
      </c>
      <c r="T193" s="3">
        <v>5</v>
      </c>
      <c r="U193" s="3">
        <v>-1</v>
      </c>
      <c r="V193" s="3">
        <v>3</v>
      </c>
      <c r="W193" s="3">
        <v>4.8</v>
      </c>
      <c r="X193" s="3">
        <v>37378</v>
      </c>
      <c r="Y193" s="3">
        <v>3.3</v>
      </c>
      <c r="Z193" s="3">
        <v>0</v>
      </c>
      <c r="CX193" s="9"/>
      <c r="DA193"/>
      <c r="DC193"/>
      <c r="DD193" s="1"/>
      <c r="DF193" s="1"/>
      <c r="DH193" s="1"/>
      <c r="DJ193" s="1"/>
      <c r="DL193" s="1"/>
      <c r="DN193" s="1"/>
      <c r="DP193" s="1"/>
    </row>
    <row r="194" spans="1:120">
      <c r="A194">
        <v>58845</v>
      </c>
      <c r="B194" s="1" t="s">
        <v>750</v>
      </c>
      <c r="C194" s="1" t="s">
        <v>462</v>
      </c>
      <c r="D194" s="1" t="str">
        <f>VLOOKUP( 4,Squads!A:E,5,0)</f>
        <v>NEW</v>
      </c>
      <c r="E194" s="1" t="str">
        <f>VLOOKUP( 2,$CX$2:$CY$5,2,0)</f>
        <v>DEF</v>
      </c>
      <c r="F194" s="8">
        <v>2300000</v>
      </c>
      <c r="G194" s="1" t="s">
        <v>0</v>
      </c>
      <c r="H194" s="1">
        <v>2000000</v>
      </c>
      <c r="I194" s="1">
        <v>2000000</v>
      </c>
      <c r="J194" s="3">
        <v>2000000</v>
      </c>
      <c r="K194" s="3">
        <v>2300000</v>
      </c>
      <c r="L194" s="3">
        <v>-1</v>
      </c>
      <c r="M194" s="3">
        <v>0</v>
      </c>
      <c r="N194" s="3">
        <v>13</v>
      </c>
      <c r="O194" s="3">
        <v>2</v>
      </c>
      <c r="P194" s="3">
        <v>71</v>
      </c>
      <c r="Q194" s="3">
        <v>3</v>
      </c>
      <c r="R194" s="3">
        <v>12</v>
      </c>
      <c r="S194" s="3">
        <v>4</v>
      </c>
      <c r="T194" s="3">
        <v>13</v>
      </c>
      <c r="U194" s="3">
        <v>-1</v>
      </c>
      <c r="V194" s="3">
        <v>4</v>
      </c>
      <c r="W194" s="3">
        <v>3.8</v>
      </c>
      <c r="X194" s="3">
        <v>5562</v>
      </c>
      <c r="Y194" s="3">
        <v>0.5</v>
      </c>
      <c r="Z194" s="3">
        <v>0</v>
      </c>
      <c r="CX194" s="9"/>
      <c r="DA194"/>
      <c r="DC194"/>
      <c r="DD194" s="1"/>
      <c r="DF194" s="1"/>
      <c r="DH194" s="1"/>
      <c r="DJ194" s="1"/>
      <c r="DL194" s="1"/>
      <c r="DN194" s="1"/>
      <c r="DP194" s="1"/>
    </row>
    <row r="195" spans="1:120">
      <c r="A195">
        <v>58877</v>
      </c>
      <c r="B195" s="1" t="s">
        <v>16</v>
      </c>
      <c r="C195" s="1" t="s">
        <v>17</v>
      </c>
      <c r="D195" s="1" t="str">
        <f>VLOOKUP( 1,Squads!A:E,5,0)</f>
        <v>MUN</v>
      </c>
      <c r="E195" s="1" t="str">
        <f>VLOOKUP( 2,$CX$2:$CY$5,2,0)</f>
        <v>DEF</v>
      </c>
      <c r="F195" s="8">
        <v>4300000</v>
      </c>
      <c r="G195" s="1" t="s">
        <v>0</v>
      </c>
      <c r="H195" s="1">
        <v>4000000</v>
      </c>
      <c r="I195" s="1">
        <v>4000000</v>
      </c>
      <c r="J195" s="3">
        <v>4000000</v>
      </c>
      <c r="K195" s="3">
        <v>4300000</v>
      </c>
      <c r="L195" s="3">
        <v>8</v>
      </c>
      <c r="M195" s="3">
        <v>8</v>
      </c>
      <c r="N195" s="3">
        <v>8</v>
      </c>
      <c r="O195" s="3">
        <v>13</v>
      </c>
      <c r="P195" s="3">
        <v>10</v>
      </c>
      <c r="Q195" s="3">
        <v>3</v>
      </c>
      <c r="R195" s="3">
        <v>24</v>
      </c>
      <c r="S195" s="3">
        <v>8</v>
      </c>
      <c r="T195" s="3">
        <v>8</v>
      </c>
      <c r="U195" s="3">
        <v>8</v>
      </c>
      <c r="V195" s="3">
        <v>8</v>
      </c>
      <c r="W195" s="3">
        <v>7</v>
      </c>
      <c r="X195" s="3">
        <v>105697</v>
      </c>
      <c r="Y195" s="3">
        <v>9.3000000000000007</v>
      </c>
      <c r="Z195" s="3">
        <v>0</v>
      </c>
      <c r="CX195" s="9"/>
      <c r="DA195"/>
      <c r="DC195"/>
      <c r="DD195" s="1"/>
      <c r="DF195" s="1"/>
      <c r="DH195" s="1"/>
      <c r="DJ195" s="1"/>
      <c r="DL195" s="1"/>
      <c r="DN195" s="1"/>
      <c r="DP195" s="1"/>
    </row>
    <row r="196" spans="1:120">
      <c r="A196">
        <v>58893</v>
      </c>
      <c r="B196" s="1" t="s">
        <v>182</v>
      </c>
      <c r="C196" s="1" t="s">
        <v>421</v>
      </c>
      <c r="D196" s="1" t="str">
        <f>VLOOKUP( 1,Squads!A:E,5,0)</f>
        <v>MUN</v>
      </c>
      <c r="E196" s="1" t="str">
        <f>VLOOKUP( 2,$CX$2:$CY$5,2,0)</f>
        <v>DEF</v>
      </c>
      <c r="F196" s="8">
        <v>3500000</v>
      </c>
      <c r="G196" s="1" t="s">
        <v>1011</v>
      </c>
      <c r="H196" s="1">
        <v>3500000</v>
      </c>
      <c r="I196" s="1">
        <v>3500000</v>
      </c>
      <c r="J196" s="3">
        <v>3500000</v>
      </c>
      <c r="K196" s="3">
        <v>3500000</v>
      </c>
      <c r="O196" s="3">
        <v>0</v>
      </c>
      <c r="P196" s="3">
        <v>218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2.2999999999999998</v>
      </c>
      <c r="W196" s="3">
        <v>2</v>
      </c>
      <c r="X196" s="3">
        <v>9193</v>
      </c>
      <c r="Y196" s="3">
        <v>0.8</v>
      </c>
      <c r="Z196" s="3">
        <v>0</v>
      </c>
      <c r="CX196" s="9"/>
      <c r="DA196"/>
      <c r="DC196"/>
      <c r="DD196" s="1"/>
      <c r="DF196" s="1"/>
      <c r="DH196" s="1"/>
      <c r="DJ196" s="1"/>
      <c r="DL196" s="1"/>
      <c r="DN196" s="1"/>
      <c r="DP196" s="1"/>
    </row>
    <row r="197" spans="1:120">
      <c r="A197">
        <v>59735</v>
      </c>
      <c r="B197" s="1" t="s">
        <v>787</v>
      </c>
      <c r="C197" s="1" t="s">
        <v>788</v>
      </c>
      <c r="D197" s="1" t="str">
        <f>VLOOKUP( 4,Squads!A:E,5,0)</f>
        <v>NEW</v>
      </c>
      <c r="E197" s="1" t="str">
        <f>VLOOKUP( 1,$CX$2:$CY$5,2,0)</f>
        <v>GK</v>
      </c>
      <c r="F197" s="8">
        <v>2000000</v>
      </c>
      <c r="G197" s="1" t="s">
        <v>1011</v>
      </c>
      <c r="H197" s="1">
        <v>2000000</v>
      </c>
      <c r="I197" s="1">
        <v>2000000</v>
      </c>
      <c r="J197" s="3">
        <v>2000000</v>
      </c>
      <c r="K197" s="3">
        <v>2000000</v>
      </c>
      <c r="M197" s="3">
        <v>-2</v>
      </c>
      <c r="O197" s="3">
        <v>0</v>
      </c>
      <c r="P197" s="3">
        <v>354</v>
      </c>
      <c r="Q197" s="3">
        <v>1</v>
      </c>
      <c r="R197" s="3">
        <v>-2</v>
      </c>
      <c r="S197" s="3">
        <v>-2</v>
      </c>
      <c r="T197" s="3">
        <v>-2</v>
      </c>
      <c r="U197" s="3">
        <v>-2</v>
      </c>
      <c r="V197" s="3">
        <v>-2</v>
      </c>
      <c r="W197" s="3">
        <v>-2</v>
      </c>
      <c r="X197" s="3">
        <v>1653</v>
      </c>
      <c r="Y197" s="3">
        <v>0.1</v>
      </c>
      <c r="Z197" s="3">
        <v>0</v>
      </c>
      <c r="CX197" s="9"/>
      <c r="DA197"/>
      <c r="DC197"/>
      <c r="DD197" s="1"/>
      <c r="DF197" s="1"/>
      <c r="DH197" s="1"/>
      <c r="DJ197" s="1"/>
      <c r="DL197" s="1"/>
      <c r="DN197" s="1"/>
      <c r="DP197" s="1"/>
    </row>
    <row r="198" spans="1:120">
      <c r="A198">
        <v>59779</v>
      </c>
      <c r="B198" s="1" t="s">
        <v>67</v>
      </c>
      <c r="C198" s="1" t="s">
        <v>388</v>
      </c>
      <c r="D198" s="1" t="str">
        <f>VLOOKUP( 21,Squads!A:E,5,0)</f>
        <v>WHU</v>
      </c>
      <c r="E198" s="1" t="str">
        <f>VLOOKUP( 3,$CX$2:$CY$5,2,0)</f>
        <v>MID</v>
      </c>
      <c r="F198" s="8">
        <v>1500000</v>
      </c>
      <c r="G198" s="1" t="s">
        <v>0</v>
      </c>
      <c r="H198" s="1">
        <v>1500000</v>
      </c>
      <c r="I198" s="1">
        <v>1500000</v>
      </c>
      <c r="J198" s="3">
        <v>1500000</v>
      </c>
      <c r="K198" s="3">
        <v>1500000</v>
      </c>
      <c r="L198" s="3">
        <v>0</v>
      </c>
      <c r="M198" s="3">
        <v>3</v>
      </c>
      <c r="O198" s="3">
        <v>0</v>
      </c>
      <c r="P198" s="3">
        <v>178</v>
      </c>
      <c r="Q198" s="3">
        <v>3</v>
      </c>
      <c r="R198" s="3">
        <v>3</v>
      </c>
      <c r="S198" s="3">
        <v>1</v>
      </c>
      <c r="T198" s="3">
        <v>3</v>
      </c>
      <c r="U198" s="3">
        <v>0</v>
      </c>
      <c r="V198" s="3">
        <v>1</v>
      </c>
      <c r="W198" s="3">
        <v>1.2</v>
      </c>
      <c r="X198" s="3">
        <v>1021</v>
      </c>
      <c r="Y198" s="3">
        <v>0.1</v>
      </c>
      <c r="Z198" s="3">
        <v>0</v>
      </c>
      <c r="CX198" s="9"/>
      <c r="DA198"/>
      <c r="DC198"/>
      <c r="DD198" s="1"/>
      <c r="DF198" s="1"/>
      <c r="DH198" s="1"/>
      <c r="DJ198" s="1"/>
      <c r="DL198" s="1"/>
      <c r="DN198" s="1"/>
      <c r="DP198" s="1"/>
    </row>
    <row r="199" spans="1:120">
      <c r="A199">
        <v>59846</v>
      </c>
      <c r="B199" s="1" t="s">
        <v>224</v>
      </c>
      <c r="C199" s="1" t="s">
        <v>422</v>
      </c>
      <c r="D199" s="1" t="str">
        <f>VLOOKUP( 1,Squads!A:E,5,0)</f>
        <v>MUN</v>
      </c>
      <c r="E199" s="1" t="str">
        <f>VLOOKUP( 3,$CX$2:$CY$5,2,0)</f>
        <v>MID</v>
      </c>
      <c r="F199" s="8">
        <v>3000000</v>
      </c>
      <c r="G199" s="1" t="s">
        <v>0</v>
      </c>
      <c r="H199" s="1">
        <v>3000000</v>
      </c>
      <c r="I199" s="1">
        <v>3000000</v>
      </c>
      <c r="J199" s="3">
        <v>3000000</v>
      </c>
      <c r="K199" s="3">
        <v>3000000</v>
      </c>
      <c r="M199" s="3">
        <v>0</v>
      </c>
      <c r="O199" s="3">
        <v>0</v>
      </c>
      <c r="P199" s="3">
        <v>218</v>
      </c>
      <c r="Q199" s="3">
        <v>1</v>
      </c>
      <c r="R199" s="3">
        <v>0</v>
      </c>
      <c r="S199" s="3">
        <v>0</v>
      </c>
      <c r="T199" s="3">
        <v>0</v>
      </c>
      <c r="U199" s="3">
        <v>0</v>
      </c>
      <c r="V199" s="3">
        <v>5</v>
      </c>
      <c r="W199" s="3">
        <v>4</v>
      </c>
      <c r="X199" s="3">
        <v>73715</v>
      </c>
      <c r="Y199" s="3">
        <v>6.5</v>
      </c>
      <c r="Z199" s="3">
        <v>0</v>
      </c>
      <c r="CX199" s="9"/>
      <c r="DA199"/>
      <c r="DC199"/>
      <c r="DD199" s="1"/>
      <c r="DF199" s="1"/>
      <c r="DH199" s="1"/>
      <c r="DJ199" s="1"/>
      <c r="DL199" s="1"/>
      <c r="DN199" s="1"/>
      <c r="DP199" s="1"/>
    </row>
    <row r="200" spans="1:120">
      <c r="A200">
        <v>59859</v>
      </c>
      <c r="B200" s="1" t="s">
        <v>151</v>
      </c>
      <c r="C200" s="1" t="s">
        <v>152</v>
      </c>
      <c r="D200" s="1" t="str">
        <f>VLOOKUP( 43,Squads!A:E,5,0)</f>
        <v>MCI</v>
      </c>
      <c r="E200" s="1" t="str">
        <f>VLOOKUP( 3,$CX$2:$CY$5,2,0)</f>
        <v>MID</v>
      </c>
      <c r="F200" s="8">
        <v>3500000</v>
      </c>
      <c r="G200" s="1" t="s">
        <v>0</v>
      </c>
      <c r="H200" s="1">
        <v>3500000</v>
      </c>
      <c r="I200" s="1">
        <v>3500000</v>
      </c>
      <c r="J200" s="3">
        <v>3500000</v>
      </c>
      <c r="K200" s="3">
        <v>3500000</v>
      </c>
      <c r="O200" s="3">
        <v>0</v>
      </c>
      <c r="P200" s="3">
        <v>218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1</v>
      </c>
      <c r="W200" s="3">
        <v>2</v>
      </c>
      <c r="X200" s="3">
        <v>2578</v>
      </c>
      <c r="Y200" s="3">
        <v>0.2</v>
      </c>
      <c r="Z200" s="3">
        <v>0</v>
      </c>
      <c r="CX200" s="9"/>
      <c r="DA200"/>
      <c r="DC200"/>
      <c r="DD200" s="1"/>
      <c r="DF200" s="1"/>
      <c r="DH200" s="1"/>
      <c r="DJ200" s="1"/>
      <c r="DL200" s="1"/>
      <c r="DN200" s="1"/>
      <c r="DP200" s="1"/>
    </row>
    <row r="201" spans="1:120">
      <c r="A201">
        <v>59966</v>
      </c>
      <c r="B201" s="1" t="s">
        <v>957</v>
      </c>
      <c r="C201" s="1" t="s">
        <v>958</v>
      </c>
      <c r="D201" s="1" t="str">
        <f>VLOOKUP( 3,Squads!A:E,5,0)</f>
        <v>ARS</v>
      </c>
      <c r="E201" s="1" t="str">
        <f>VLOOKUP( 4,$CX$2:$CY$5,2,0)</f>
        <v>STR</v>
      </c>
      <c r="F201" s="8">
        <v>4800000</v>
      </c>
      <c r="G201" s="1" t="s">
        <v>0</v>
      </c>
      <c r="H201" s="1">
        <v>5000000</v>
      </c>
      <c r="I201" s="1">
        <v>5000000</v>
      </c>
      <c r="J201" s="3">
        <v>5000000</v>
      </c>
      <c r="K201" s="3">
        <v>4800000</v>
      </c>
      <c r="L201" s="3">
        <v>8</v>
      </c>
      <c r="M201" s="3">
        <v>0</v>
      </c>
      <c r="N201" s="3">
        <v>0</v>
      </c>
      <c r="O201" s="3">
        <v>108</v>
      </c>
      <c r="P201" s="3">
        <v>103</v>
      </c>
      <c r="Q201" s="3">
        <v>3</v>
      </c>
      <c r="R201" s="3">
        <v>8</v>
      </c>
      <c r="S201" s="3">
        <v>2.7</v>
      </c>
      <c r="T201" s="3">
        <v>8</v>
      </c>
      <c r="U201" s="3">
        <v>0</v>
      </c>
      <c r="V201" s="3">
        <v>2.7</v>
      </c>
      <c r="W201" s="3">
        <v>2.7</v>
      </c>
      <c r="X201" s="3">
        <v>333362</v>
      </c>
      <c r="Y201" s="3">
        <v>29.2</v>
      </c>
      <c r="Z201" s="3">
        <v>0</v>
      </c>
      <c r="CX201" s="9"/>
      <c r="DA201"/>
      <c r="DC201"/>
      <c r="DD201" s="1"/>
      <c r="DF201" s="1"/>
      <c r="DH201" s="1"/>
      <c r="DJ201" s="1"/>
      <c r="DL201" s="1"/>
      <c r="DN201" s="1"/>
      <c r="DP201" s="1"/>
    </row>
    <row r="202" spans="1:120">
      <c r="A202">
        <v>60232</v>
      </c>
      <c r="B202" s="1" t="s">
        <v>157</v>
      </c>
      <c r="C202" s="1" t="s">
        <v>158</v>
      </c>
      <c r="D202" s="1" t="str">
        <f>VLOOKUP( 35,Squads!A:E,5,0)</f>
        <v>WBA</v>
      </c>
      <c r="E202" s="1" t="str">
        <f>VLOOKUP( 2,$CX$2:$CY$5,2,0)</f>
        <v>DEF</v>
      </c>
      <c r="F202" s="8">
        <v>3100000</v>
      </c>
      <c r="G202" s="1" t="s">
        <v>0</v>
      </c>
      <c r="H202" s="1">
        <v>3000000</v>
      </c>
      <c r="I202" s="1">
        <v>3000000</v>
      </c>
      <c r="J202" s="3">
        <v>3000000</v>
      </c>
      <c r="K202" s="3">
        <v>3100000</v>
      </c>
      <c r="L202" s="3">
        <v>8</v>
      </c>
      <c r="M202" s="3">
        <v>8</v>
      </c>
      <c r="N202" s="3">
        <v>0</v>
      </c>
      <c r="O202" s="3">
        <v>108</v>
      </c>
      <c r="P202" s="3">
        <v>42</v>
      </c>
      <c r="Q202" s="3">
        <v>4</v>
      </c>
      <c r="R202" s="3">
        <v>16</v>
      </c>
      <c r="S202" s="3">
        <v>4</v>
      </c>
      <c r="T202" s="3">
        <v>8</v>
      </c>
      <c r="U202" s="3">
        <v>0</v>
      </c>
      <c r="V202" s="3">
        <v>2.7</v>
      </c>
      <c r="W202" s="3">
        <v>3</v>
      </c>
      <c r="X202" s="3">
        <v>30112</v>
      </c>
      <c r="Y202" s="3">
        <v>2.6</v>
      </c>
      <c r="Z202" s="3">
        <v>0</v>
      </c>
      <c r="CX202" s="9"/>
      <c r="DA202"/>
      <c r="DC202"/>
      <c r="DD202" s="1"/>
      <c r="DF202" s="1"/>
      <c r="DH202" s="1"/>
      <c r="DJ202" s="1"/>
      <c r="DL202" s="1"/>
      <c r="DN202" s="1"/>
      <c r="DP202" s="1"/>
    </row>
    <row r="203" spans="1:120">
      <c r="A203">
        <v>60252</v>
      </c>
      <c r="B203" s="1" t="s">
        <v>98</v>
      </c>
      <c r="C203" s="1" t="s">
        <v>99</v>
      </c>
      <c r="D203" s="1" t="str">
        <f>VLOOKUP( 31,Squads!A:E,5,0)</f>
        <v>CRY</v>
      </c>
      <c r="E203" s="1" t="str">
        <f>VLOOKUP( 3,$CX$2:$CY$5,2,0)</f>
        <v>MID</v>
      </c>
      <c r="F203" s="8">
        <v>2800000</v>
      </c>
      <c r="G203" s="1" t="s">
        <v>0</v>
      </c>
      <c r="H203" s="1">
        <v>3000000</v>
      </c>
      <c r="I203" s="1">
        <v>3000000</v>
      </c>
      <c r="J203" s="3">
        <v>3000000</v>
      </c>
      <c r="K203" s="3">
        <v>2800000</v>
      </c>
      <c r="L203" s="3">
        <v>0</v>
      </c>
      <c r="M203" s="3">
        <v>0</v>
      </c>
      <c r="N203" s="3">
        <v>3</v>
      </c>
      <c r="O203" s="3">
        <v>71</v>
      </c>
      <c r="P203" s="3">
        <v>178</v>
      </c>
      <c r="Q203" s="3">
        <v>4</v>
      </c>
      <c r="R203" s="3">
        <v>3</v>
      </c>
      <c r="S203" s="3">
        <v>0.8</v>
      </c>
      <c r="T203" s="3">
        <v>3</v>
      </c>
      <c r="U203" s="3">
        <v>0</v>
      </c>
      <c r="V203" s="3">
        <v>1</v>
      </c>
      <c r="W203" s="3">
        <v>0.6</v>
      </c>
      <c r="X203" s="3">
        <v>3171</v>
      </c>
      <c r="Y203" s="3">
        <v>0.3</v>
      </c>
      <c r="Z203" s="3">
        <v>0</v>
      </c>
      <c r="CX203" s="9"/>
      <c r="DA203"/>
      <c r="DC203"/>
      <c r="DD203" s="1"/>
      <c r="DF203" s="1"/>
      <c r="DH203" s="1"/>
      <c r="DJ203" s="1"/>
      <c r="DL203" s="1"/>
      <c r="DN203" s="1"/>
      <c r="DP203" s="1"/>
    </row>
    <row r="204" spans="1:120">
      <c r="A204">
        <v>60307</v>
      </c>
      <c r="B204" s="1" t="s">
        <v>789</v>
      </c>
      <c r="C204" s="1" t="s">
        <v>790</v>
      </c>
      <c r="D204" s="1" t="str">
        <f>VLOOKUP( 36,Squads!A:E,5,0)</f>
        <v>BHA</v>
      </c>
      <c r="E204" s="1" t="str">
        <f>VLOOKUP( 3,$CX$2:$CY$5,2,0)</f>
        <v>MID</v>
      </c>
      <c r="F204" s="8">
        <v>2300000</v>
      </c>
      <c r="G204" s="1" t="s">
        <v>0</v>
      </c>
      <c r="H204" s="1">
        <v>2500000</v>
      </c>
      <c r="I204" s="1">
        <v>2500000</v>
      </c>
      <c r="J204" s="3">
        <v>2500000</v>
      </c>
      <c r="K204" s="3">
        <v>2300000</v>
      </c>
      <c r="L204" s="3">
        <v>0</v>
      </c>
      <c r="M204" s="3">
        <v>0</v>
      </c>
      <c r="N204" s="3">
        <v>0</v>
      </c>
      <c r="O204" s="3">
        <v>108</v>
      </c>
      <c r="P204" s="3">
        <v>218</v>
      </c>
      <c r="Q204" s="3">
        <v>3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1136</v>
      </c>
      <c r="Y204" s="3">
        <v>0.1</v>
      </c>
      <c r="Z204" s="3">
        <v>0</v>
      </c>
      <c r="CX204" s="9"/>
      <c r="DA204"/>
      <c r="DC204"/>
      <c r="DD204" s="1"/>
      <c r="DF204" s="1"/>
      <c r="DH204" s="1"/>
      <c r="DJ204" s="1"/>
      <c r="DL204" s="1"/>
      <c r="DN204" s="1"/>
      <c r="DP204" s="1"/>
    </row>
    <row r="205" spans="1:120">
      <c r="A205">
        <v>60586</v>
      </c>
      <c r="B205" s="1" t="s">
        <v>1000</v>
      </c>
      <c r="C205" s="1" t="s">
        <v>1001</v>
      </c>
      <c r="D205" s="1" t="str">
        <f>VLOOKUP( 90,Squads!A:E,5,0)</f>
        <v>BUR</v>
      </c>
      <c r="E205" s="1" t="str">
        <f>VLOOKUP( 3,$CX$2:$CY$5,2,0)</f>
        <v>MID</v>
      </c>
      <c r="F205" s="8">
        <v>900000</v>
      </c>
      <c r="G205" s="1" t="s">
        <v>0</v>
      </c>
      <c r="H205" s="1">
        <v>1000000</v>
      </c>
      <c r="I205" s="1">
        <v>1000000</v>
      </c>
      <c r="J205" s="3">
        <v>1000000</v>
      </c>
      <c r="K205" s="3">
        <v>900000</v>
      </c>
      <c r="L205" s="3">
        <v>0</v>
      </c>
      <c r="M205" s="3">
        <v>0</v>
      </c>
      <c r="N205" s="3">
        <v>0</v>
      </c>
      <c r="O205" s="3">
        <v>108</v>
      </c>
      <c r="P205" s="3">
        <v>218</v>
      </c>
      <c r="Q205" s="3">
        <v>4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0.6</v>
      </c>
      <c r="X205" s="3">
        <v>873</v>
      </c>
      <c r="Y205" s="3">
        <v>0.1</v>
      </c>
      <c r="Z205" s="3">
        <v>0</v>
      </c>
      <c r="CX205" s="9"/>
      <c r="DA205"/>
      <c r="DC205"/>
      <c r="DD205" s="1"/>
      <c r="DF205" s="1"/>
      <c r="DH205" s="1"/>
      <c r="DJ205" s="1"/>
      <c r="DL205" s="1"/>
      <c r="DN205" s="1"/>
      <c r="DP205" s="1"/>
    </row>
    <row r="206" spans="1:120">
      <c r="A206">
        <v>60689</v>
      </c>
      <c r="B206" s="1" t="s">
        <v>34</v>
      </c>
      <c r="C206" s="1" t="s">
        <v>1046</v>
      </c>
      <c r="D206" s="1" t="str">
        <f>VLOOKUP( 90,Squads!A:E,5,0)</f>
        <v>BUR</v>
      </c>
      <c r="E206" s="1" t="str">
        <f>VLOOKUP( 4,$CX$2:$CY$5,2,0)</f>
        <v>STR</v>
      </c>
      <c r="F206" s="8">
        <v>2700000</v>
      </c>
      <c r="G206" s="1" t="s">
        <v>0</v>
      </c>
      <c r="H206" s="1">
        <v>3500000</v>
      </c>
      <c r="I206" s="1">
        <v>2500000</v>
      </c>
      <c r="J206" s="3">
        <v>2500000</v>
      </c>
      <c r="K206" s="3">
        <v>2700000</v>
      </c>
      <c r="M206" s="3">
        <v>0</v>
      </c>
      <c r="N206" s="3">
        <v>8</v>
      </c>
      <c r="O206" s="3">
        <v>13</v>
      </c>
      <c r="P206" s="3">
        <v>103</v>
      </c>
      <c r="Q206" s="3">
        <v>2</v>
      </c>
      <c r="R206" s="3">
        <v>8</v>
      </c>
      <c r="S206" s="3">
        <v>4</v>
      </c>
      <c r="T206" s="3">
        <v>8</v>
      </c>
      <c r="U206" s="3">
        <v>0</v>
      </c>
      <c r="V206" s="3">
        <v>2.7</v>
      </c>
      <c r="W206" s="3">
        <v>2.7</v>
      </c>
      <c r="X206" s="3">
        <v>193</v>
      </c>
      <c r="Y206" s="3">
        <v>0</v>
      </c>
      <c r="Z206" s="3">
        <v>0</v>
      </c>
      <c r="CX206" s="9"/>
      <c r="DA206"/>
      <c r="DC206"/>
      <c r="DD206" s="1"/>
      <c r="DF206" s="1"/>
      <c r="DH206" s="1"/>
      <c r="DJ206" s="1"/>
      <c r="DL206" s="1"/>
      <c r="DN206" s="1"/>
      <c r="DP206" s="1"/>
    </row>
    <row r="207" spans="1:120">
      <c r="A207">
        <v>60706</v>
      </c>
      <c r="C207" s="1" t="s">
        <v>423</v>
      </c>
      <c r="D207" s="1" t="str">
        <f>VLOOKUP( 21,Squads!A:E,5,0)</f>
        <v>WHU</v>
      </c>
      <c r="E207" s="1" t="str">
        <f>VLOOKUP( 1,$CX$2:$CY$5,2,0)</f>
        <v>GK</v>
      </c>
      <c r="F207" s="8">
        <v>2000000</v>
      </c>
      <c r="G207" s="1" t="s">
        <v>0</v>
      </c>
      <c r="H207" s="1">
        <v>2000000</v>
      </c>
      <c r="I207" s="1">
        <v>2000000</v>
      </c>
      <c r="J207" s="3">
        <v>2000000</v>
      </c>
      <c r="K207" s="3">
        <v>2000000</v>
      </c>
      <c r="M207" s="3">
        <v>8</v>
      </c>
      <c r="O207" s="3">
        <v>0</v>
      </c>
      <c r="P207" s="3">
        <v>103</v>
      </c>
      <c r="Q207" s="3">
        <v>1</v>
      </c>
      <c r="R207" s="3">
        <v>8</v>
      </c>
      <c r="S207" s="3">
        <v>8</v>
      </c>
      <c r="T207" s="3">
        <v>8</v>
      </c>
      <c r="U207" s="3">
        <v>8</v>
      </c>
      <c r="V207" s="3">
        <v>7</v>
      </c>
      <c r="W207" s="3">
        <v>3</v>
      </c>
      <c r="X207" s="3">
        <v>1168</v>
      </c>
      <c r="Y207" s="3">
        <v>0.1</v>
      </c>
      <c r="Z207" s="3">
        <v>0</v>
      </c>
      <c r="CX207" s="9"/>
      <c r="DA207"/>
      <c r="DC207"/>
      <c r="DD207" s="1"/>
      <c r="DF207" s="1"/>
      <c r="DH207" s="1"/>
      <c r="DJ207" s="1"/>
      <c r="DL207" s="1"/>
      <c r="DN207" s="1"/>
      <c r="DP207" s="1"/>
    </row>
    <row r="208" spans="1:120">
      <c r="A208">
        <v>60772</v>
      </c>
      <c r="B208" s="1" t="s">
        <v>155</v>
      </c>
      <c r="C208" s="1" t="s">
        <v>156</v>
      </c>
      <c r="D208" s="1" t="str">
        <f>VLOOKUP( 8,Squads!A:E,5,0)</f>
        <v>CHE</v>
      </c>
      <c r="E208" s="1" t="str">
        <f>VLOOKUP( 1,$CX$2:$CY$5,2,0)</f>
        <v>GK</v>
      </c>
      <c r="F208" s="8">
        <v>4400000</v>
      </c>
      <c r="G208" s="1" t="s">
        <v>0</v>
      </c>
      <c r="H208" s="1">
        <v>4500000</v>
      </c>
      <c r="I208" s="1">
        <v>4500000</v>
      </c>
      <c r="J208" s="3">
        <v>4500000</v>
      </c>
      <c r="K208" s="3">
        <v>4400000</v>
      </c>
      <c r="L208" s="3">
        <v>-2</v>
      </c>
      <c r="M208" s="3">
        <v>3</v>
      </c>
      <c r="N208" s="3">
        <v>5</v>
      </c>
      <c r="O208" s="3">
        <v>48</v>
      </c>
      <c r="P208" s="3">
        <v>139</v>
      </c>
      <c r="Q208" s="3">
        <v>3</v>
      </c>
      <c r="R208" s="3">
        <v>6</v>
      </c>
      <c r="S208" s="3">
        <v>2</v>
      </c>
      <c r="T208" s="3">
        <v>5</v>
      </c>
      <c r="U208" s="3">
        <v>-2</v>
      </c>
      <c r="V208" s="3">
        <v>2</v>
      </c>
      <c r="W208" s="3">
        <v>2.4</v>
      </c>
      <c r="X208" s="3">
        <v>72293</v>
      </c>
      <c r="Y208" s="3">
        <v>6.3</v>
      </c>
      <c r="Z208" s="3">
        <v>0</v>
      </c>
      <c r="CX208" s="9"/>
      <c r="DA208"/>
      <c r="DC208"/>
      <c r="DD208" s="1"/>
      <c r="DF208" s="1"/>
      <c r="DH208" s="1"/>
      <c r="DJ208" s="1"/>
      <c r="DL208" s="1"/>
      <c r="DN208" s="1"/>
      <c r="DP208" s="1"/>
    </row>
    <row r="209" spans="1:120">
      <c r="A209">
        <v>60914</v>
      </c>
      <c r="B209" s="1" t="s">
        <v>83</v>
      </c>
      <c r="C209" s="1" t="s">
        <v>84</v>
      </c>
      <c r="D209" s="1" t="str">
        <f>VLOOKUP( 14,Squads!A:E,5,0)</f>
        <v>LIV</v>
      </c>
      <c r="E209" s="1" t="str">
        <f>VLOOKUP( 2,$CX$2:$CY$5,2,0)</f>
        <v>DEF</v>
      </c>
      <c r="F209" s="8">
        <v>3800000</v>
      </c>
      <c r="G209" s="1" t="s">
        <v>0</v>
      </c>
      <c r="H209" s="1">
        <v>3500000</v>
      </c>
      <c r="I209" s="1">
        <v>3500000</v>
      </c>
      <c r="J209" s="3">
        <v>3500000</v>
      </c>
      <c r="K209" s="3">
        <v>3800000</v>
      </c>
      <c r="L209" s="3">
        <v>1</v>
      </c>
      <c r="M209" s="3">
        <v>10</v>
      </c>
      <c r="N209" s="3">
        <v>8</v>
      </c>
      <c r="O209" s="3">
        <v>13</v>
      </c>
      <c r="P209" s="3">
        <v>31</v>
      </c>
      <c r="Q209" s="3">
        <v>5</v>
      </c>
      <c r="R209" s="3">
        <v>19</v>
      </c>
      <c r="S209" s="3">
        <v>3.8</v>
      </c>
      <c r="T209" s="3">
        <v>8</v>
      </c>
      <c r="U209" s="3">
        <v>-2</v>
      </c>
      <c r="V209" s="3">
        <v>6</v>
      </c>
      <c r="W209" s="3">
        <v>3.8</v>
      </c>
      <c r="X209" s="3">
        <v>84170</v>
      </c>
      <c r="Y209" s="3">
        <v>7.4</v>
      </c>
      <c r="Z209" s="3">
        <v>0</v>
      </c>
      <c r="CX209" s="9"/>
      <c r="DA209"/>
      <c r="DC209"/>
      <c r="DD209" s="1"/>
      <c r="DF209" s="1"/>
      <c r="DH209" s="1"/>
      <c r="DJ209" s="1"/>
      <c r="DL209" s="1"/>
      <c r="DN209" s="1"/>
      <c r="DP209" s="1"/>
    </row>
    <row r="210" spans="1:120">
      <c r="A210">
        <v>61316</v>
      </c>
      <c r="C210" s="1" t="s">
        <v>1325</v>
      </c>
      <c r="D210" s="1" t="str">
        <f>VLOOKUP( 4,Squads!A:E,5,0)</f>
        <v>NEW</v>
      </c>
      <c r="E210" s="1" t="str">
        <f>VLOOKUP( 4,$CX$2:$CY$5,2,0)</f>
        <v>STR</v>
      </c>
      <c r="F210" s="8">
        <v>1700000</v>
      </c>
      <c r="G210" s="1" t="s">
        <v>0</v>
      </c>
      <c r="H210" s="1">
        <v>1500000</v>
      </c>
      <c r="I210" s="1">
        <v>1500000</v>
      </c>
      <c r="J210" s="3">
        <v>1500000</v>
      </c>
      <c r="K210" s="3">
        <v>1700000</v>
      </c>
      <c r="M210" s="3">
        <v>-1</v>
      </c>
      <c r="N210" s="3">
        <v>8</v>
      </c>
      <c r="O210" s="3">
        <v>13</v>
      </c>
      <c r="P210" s="3">
        <v>124</v>
      </c>
      <c r="Q210" s="3">
        <v>3</v>
      </c>
      <c r="R210" s="3">
        <v>7</v>
      </c>
      <c r="S210" s="3">
        <v>2.2999999999999998</v>
      </c>
      <c r="T210" s="3">
        <v>8</v>
      </c>
      <c r="U210" s="3">
        <v>-1</v>
      </c>
      <c r="V210" s="3">
        <v>2.2999999999999998</v>
      </c>
      <c r="W210" s="3">
        <v>2.2999999999999998</v>
      </c>
      <c r="X210" s="3">
        <v>247</v>
      </c>
      <c r="Y210" s="3">
        <v>0</v>
      </c>
      <c r="Z210" s="3">
        <v>0</v>
      </c>
      <c r="CX210" s="9"/>
      <c r="DA210"/>
      <c r="DC210"/>
      <c r="DD210" s="1"/>
      <c r="DF210" s="1"/>
      <c r="DH210" s="1"/>
      <c r="DJ210" s="1"/>
      <c r="DL210" s="1"/>
      <c r="DN210" s="1"/>
      <c r="DP210" s="1"/>
    </row>
    <row r="211" spans="1:120">
      <c r="A211">
        <v>61366</v>
      </c>
      <c r="B211" s="1" t="s">
        <v>1</v>
      </c>
      <c r="C211" s="1" t="s">
        <v>2</v>
      </c>
      <c r="D211" s="1" t="str">
        <f>VLOOKUP( 43,Squads!A:E,5,0)</f>
        <v>MCI</v>
      </c>
      <c r="E211" s="1" t="str">
        <f>VLOOKUP( 3,$CX$2:$CY$5,2,0)</f>
        <v>MID</v>
      </c>
      <c r="F211" s="8">
        <v>5800000</v>
      </c>
      <c r="G211" s="1" t="s">
        <v>0</v>
      </c>
      <c r="H211" s="1">
        <v>6000000</v>
      </c>
      <c r="I211" s="1">
        <v>6000000</v>
      </c>
      <c r="J211" s="3">
        <v>6000000</v>
      </c>
      <c r="K211" s="3">
        <v>5800000</v>
      </c>
      <c r="L211" s="3">
        <v>3</v>
      </c>
      <c r="M211" s="3">
        <v>3</v>
      </c>
      <c r="N211" s="3">
        <v>3</v>
      </c>
      <c r="O211" s="3">
        <v>71</v>
      </c>
      <c r="P211" s="3">
        <v>95</v>
      </c>
      <c r="Q211" s="3">
        <v>3</v>
      </c>
      <c r="R211" s="3">
        <v>9</v>
      </c>
      <c r="S211" s="3">
        <v>3</v>
      </c>
      <c r="T211" s="3">
        <v>3</v>
      </c>
      <c r="U211" s="3">
        <v>3</v>
      </c>
      <c r="V211" s="3">
        <v>3</v>
      </c>
      <c r="W211" s="3">
        <v>4.4000000000000004</v>
      </c>
      <c r="X211" s="3">
        <v>291042</v>
      </c>
      <c r="Y211" s="3">
        <v>25.5</v>
      </c>
      <c r="Z211" s="3">
        <v>0</v>
      </c>
      <c r="CX211" s="9"/>
      <c r="DA211"/>
      <c r="DC211"/>
      <c r="DD211" s="1"/>
      <c r="DF211" s="1"/>
      <c r="DH211" s="1"/>
      <c r="DJ211" s="1"/>
      <c r="DL211" s="1"/>
      <c r="DN211" s="1"/>
      <c r="DP211" s="1"/>
    </row>
    <row r="212" spans="1:120">
      <c r="A212">
        <v>61548</v>
      </c>
      <c r="B212" s="1" t="s">
        <v>603</v>
      </c>
      <c r="C212" s="1" t="s">
        <v>604</v>
      </c>
      <c r="D212" s="1" t="str">
        <f>VLOOKUP( 20,Squads!A:E,5,0)</f>
        <v>SOU</v>
      </c>
      <c r="E212" s="1" t="str">
        <f>VLOOKUP( 4,$CX$2:$CY$5,2,0)</f>
        <v>STR</v>
      </c>
      <c r="F212" s="8">
        <v>3400000</v>
      </c>
      <c r="G212" s="1" t="s">
        <v>0</v>
      </c>
      <c r="H212" s="1">
        <v>3500000</v>
      </c>
      <c r="I212" s="1">
        <v>3500000</v>
      </c>
      <c r="J212" s="3">
        <v>3500000</v>
      </c>
      <c r="K212" s="3">
        <v>3400000</v>
      </c>
      <c r="L212" s="3">
        <v>0</v>
      </c>
      <c r="M212" s="3">
        <v>8</v>
      </c>
      <c r="N212" s="3">
        <v>0</v>
      </c>
      <c r="O212" s="3">
        <v>108</v>
      </c>
      <c r="P212" s="3">
        <v>103</v>
      </c>
      <c r="Q212" s="3">
        <v>4</v>
      </c>
      <c r="R212" s="3">
        <v>8</v>
      </c>
      <c r="S212" s="3">
        <v>2</v>
      </c>
      <c r="T212" s="3">
        <v>8</v>
      </c>
      <c r="U212" s="3">
        <v>0</v>
      </c>
      <c r="V212" s="3">
        <v>2.7</v>
      </c>
      <c r="W212" s="3">
        <v>1.6</v>
      </c>
      <c r="X212" s="3">
        <v>16912</v>
      </c>
      <c r="Y212" s="3">
        <v>1.5</v>
      </c>
      <c r="Z212" s="3">
        <v>0</v>
      </c>
      <c r="CX212" s="9"/>
      <c r="DA212"/>
      <c r="DC212"/>
      <c r="DD212" s="1"/>
      <c r="DF212" s="1"/>
      <c r="DH212" s="1"/>
      <c r="DJ212" s="1"/>
      <c r="DL212" s="1"/>
      <c r="DN212" s="1"/>
      <c r="DP212" s="1"/>
    </row>
    <row r="213" spans="1:120">
      <c r="A213">
        <v>61566</v>
      </c>
      <c r="B213" s="1" t="s">
        <v>94</v>
      </c>
      <c r="C213" s="1" t="s">
        <v>1018</v>
      </c>
      <c r="D213" s="1" t="str">
        <f>VLOOKUP( 57,Squads!A:E,5,0)</f>
        <v>WAT</v>
      </c>
      <c r="E213" s="1" t="str">
        <f>VLOOKUP( 3,$CX$2:$CY$5,2,0)</f>
        <v>MID</v>
      </c>
      <c r="F213" s="8">
        <v>2000000</v>
      </c>
      <c r="G213" s="1" t="s">
        <v>1011</v>
      </c>
      <c r="H213" s="1">
        <v>2000000</v>
      </c>
      <c r="I213" s="1">
        <v>2000000</v>
      </c>
      <c r="J213" s="3">
        <v>2000000</v>
      </c>
      <c r="K213" s="3">
        <v>2000000</v>
      </c>
      <c r="L213" s="3">
        <v>0</v>
      </c>
      <c r="O213" s="3">
        <v>0</v>
      </c>
      <c r="P213" s="3">
        <v>218</v>
      </c>
      <c r="Q213" s="3">
        <v>1</v>
      </c>
      <c r="R213" s="3">
        <v>0</v>
      </c>
      <c r="S213" s="3">
        <v>0</v>
      </c>
      <c r="T213" s="3">
        <v>0</v>
      </c>
      <c r="U213" s="3">
        <v>0</v>
      </c>
      <c r="V213" s="3">
        <v>0.7</v>
      </c>
      <c r="W213" s="3">
        <v>0.8</v>
      </c>
      <c r="X213" s="3">
        <v>294</v>
      </c>
      <c r="Y213" s="3">
        <v>0</v>
      </c>
      <c r="Z213" s="3">
        <v>0</v>
      </c>
      <c r="CF213" s="4"/>
      <c r="CX213" s="9"/>
      <c r="DA213"/>
      <c r="DC213"/>
      <c r="DD213" s="1"/>
      <c r="DF213" s="1"/>
      <c r="DH213" s="1"/>
      <c r="DJ213" s="1"/>
      <c r="DL213" s="1"/>
      <c r="DN213" s="1"/>
      <c r="DP213" s="1"/>
    </row>
    <row r="214" spans="1:120">
      <c r="A214">
        <v>61595</v>
      </c>
      <c r="B214" s="1" t="s">
        <v>225</v>
      </c>
      <c r="C214" s="1" t="s">
        <v>273</v>
      </c>
      <c r="D214" s="1" t="str">
        <f>VLOOKUP( 110,Squads!A:E,5,0)</f>
        <v>STK</v>
      </c>
      <c r="E214" s="1" t="str">
        <f>VLOOKUP( 2,$CX$2:$CY$5,2,0)</f>
        <v>DEF</v>
      </c>
      <c r="F214" s="8">
        <v>2500000</v>
      </c>
      <c r="G214" s="1" t="s">
        <v>978</v>
      </c>
      <c r="H214" s="1">
        <v>2500000</v>
      </c>
      <c r="I214" s="1">
        <v>2500000</v>
      </c>
      <c r="J214" s="3">
        <v>2500000</v>
      </c>
      <c r="K214" s="3">
        <v>2500000</v>
      </c>
      <c r="O214" s="3">
        <v>0</v>
      </c>
      <c r="P214" s="3">
        <v>218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2.7</v>
      </c>
      <c r="W214" s="3">
        <v>3.4</v>
      </c>
      <c r="X214" s="3">
        <v>726</v>
      </c>
      <c r="Y214" s="3">
        <v>0.1</v>
      </c>
      <c r="Z214" s="3">
        <v>0</v>
      </c>
      <c r="CF214" s="4"/>
      <c r="CX214" s="9"/>
      <c r="DA214"/>
      <c r="DC214"/>
      <c r="DD214" s="1"/>
      <c r="DF214" s="1"/>
      <c r="DH214" s="1"/>
      <c r="DJ214" s="1"/>
      <c r="DL214" s="1"/>
      <c r="DN214" s="1"/>
      <c r="DP214" s="1"/>
    </row>
    <row r="215" spans="1:120">
      <c r="A215">
        <v>61603</v>
      </c>
      <c r="B215" s="1" t="s">
        <v>48</v>
      </c>
      <c r="C215" s="1" t="s">
        <v>137</v>
      </c>
      <c r="D215" s="1" t="str">
        <f>VLOOKUP( 13,Squads!A:E,5,0)</f>
        <v>LEI</v>
      </c>
      <c r="E215" s="1" t="str">
        <f>VLOOKUP( 3,$CX$2:$CY$5,2,0)</f>
        <v>MID</v>
      </c>
      <c r="F215" s="8">
        <v>2000000</v>
      </c>
      <c r="G215" s="1" t="s">
        <v>0</v>
      </c>
      <c r="H215" s="1">
        <v>2000000</v>
      </c>
      <c r="I215" s="1">
        <v>2000000</v>
      </c>
      <c r="J215" s="3">
        <v>2000000</v>
      </c>
      <c r="K215" s="3">
        <v>2000000</v>
      </c>
      <c r="O215" s="3">
        <v>0</v>
      </c>
      <c r="P215" s="3">
        <v>218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1</v>
      </c>
      <c r="W215" s="3">
        <v>1.2</v>
      </c>
      <c r="X215" s="3">
        <v>2433</v>
      </c>
      <c r="Y215" s="3">
        <v>0.2</v>
      </c>
      <c r="Z215" s="3">
        <v>0</v>
      </c>
      <c r="CF215" s="4"/>
      <c r="CX215" s="9"/>
      <c r="DA215"/>
      <c r="DC215"/>
      <c r="DD215" s="1"/>
      <c r="DF215" s="1"/>
      <c r="DH215" s="1"/>
      <c r="DJ215" s="1"/>
      <c r="DL215" s="1"/>
      <c r="DN215" s="1"/>
      <c r="DP215" s="1"/>
    </row>
    <row r="216" spans="1:120">
      <c r="A216">
        <v>61858</v>
      </c>
      <c r="B216" s="1" t="s">
        <v>424</v>
      </c>
      <c r="C216" s="1" t="s">
        <v>425</v>
      </c>
      <c r="D216" s="1" t="str">
        <f>VLOOKUP( 110,Squads!A:E,5,0)</f>
        <v>STK</v>
      </c>
      <c r="E216" s="1" t="str">
        <f>VLOOKUP( 4,$CX$2:$CY$5,2,0)</f>
        <v>STR</v>
      </c>
      <c r="F216" s="8">
        <v>1500000</v>
      </c>
      <c r="G216" s="1" t="s">
        <v>0</v>
      </c>
      <c r="H216" s="1">
        <v>1500000</v>
      </c>
      <c r="I216" s="1">
        <v>1500000</v>
      </c>
      <c r="J216" s="3">
        <v>1500000</v>
      </c>
      <c r="K216" s="3">
        <v>1500000</v>
      </c>
      <c r="L216" s="3">
        <v>0</v>
      </c>
      <c r="M216" s="3">
        <v>3</v>
      </c>
      <c r="O216" s="3">
        <v>0</v>
      </c>
      <c r="P216" s="3">
        <v>178</v>
      </c>
      <c r="Q216" s="3">
        <v>2</v>
      </c>
      <c r="R216" s="3">
        <v>3</v>
      </c>
      <c r="S216" s="3">
        <v>1.5</v>
      </c>
      <c r="T216" s="3">
        <v>3</v>
      </c>
      <c r="U216" s="3">
        <v>0</v>
      </c>
      <c r="V216" s="3">
        <v>1</v>
      </c>
      <c r="W216" s="3">
        <v>0.6</v>
      </c>
      <c r="X216" s="3">
        <v>964</v>
      </c>
      <c r="Y216" s="3">
        <v>0.1</v>
      </c>
      <c r="Z216" s="3">
        <v>0</v>
      </c>
      <c r="CF216" s="4"/>
      <c r="CP216" s="7"/>
      <c r="CR216" s="6"/>
      <c r="CX216" s="9"/>
      <c r="DA216"/>
      <c r="DC216"/>
      <c r="DD216" s="1"/>
      <c r="DF216" s="1"/>
      <c r="DH216" s="1"/>
      <c r="DJ216" s="1"/>
      <c r="DL216" s="1"/>
      <c r="DN216" s="1"/>
      <c r="DP216" s="1"/>
    </row>
    <row r="217" spans="1:120">
      <c r="A217">
        <v>61933</v>
      </c>
      <c r="B217" s="1" t="s">
        <v>400</v>
      </c>
      <c r="C217" s="1" t="s">
        <v>791</v>
      </c>
      <c r="D217" s="1" t="str">
        <f>VLOOKUP( 36,Squads!A:E,5,0)</f>
        <v>BHA</v>
      </c>
      <c r="E217" s="1" t="str">
        <f>VLOOKUP( 2,$CX$2:$CY$5,2,0)</f>
        <v>DEF</v>
      </c>
      <c r="F217" s="8">
        <v>1700000</v>
      </c>
      <c r="G217" s="1" t="s">
        <v>0</v>
      </c>
      <c r="H217" s="1">
        <v>1500000</v>
      </c>
      <c r="I217" s="1">
        <v>1500000</v>
      </c>
      <c r="J217" s="3">
        <v>1500000</v>
      </c>
      <c r="K217" s="3">
        <v>1700000</v>
      </c>
      <c r="L217" s="3">
        <v>-1</v>
      </c>
      <c r="M217" s="3">
        <v>-1</v>
      </c>
      <c r="N217" s="3">
        <v>8</v>
      </c>
      <c r="O217" s="3">
        <v>13</v>
      </c>
      <c r="P217" s="3">
        <v>139</v>
      </c>
      <c r="Q217" s="3">
        <v>3</v>
      </c>
      <c r="R217" s="3">
        <v>6</v>
      </c>
      <c r="S217" s="3">
        <v>2</v>
      </c>
      <c r="T217" s="3">
        <v>8</v>
      </c>
      <c r="U217" s="3">
        <v>-1</v>
      </c>
      <c r="V217" s="3">
        <v>2</v>
      </c>
      <c r="W217" s="3">
        <v>2</v>
      </c>
      <c r="X217" s="3">
        <v>3847</v>
      </c>
      <c r="Y217" s="3">
        <v>0.3</v>
      </c>
      <c r="Z217" s="3">
        <v>0</v>
      </c>
      <c r="CP217" s="7"/>
      <c r="CR217" s="6"/>
      <c r="CX217" s="9"/>
      <c r="DA217"/>
      <c r="DC217"/>
      <c r="DD217" s="1"/>
      <c r="DF217" s="1"/>
      <c r="DH217" s="1"/>
      <c r="DJ217" s="1"/>
      <c r="DL217" s="1"/>
      <c r="DN217" s="1"/>
      <c r="DP217" s="1"/>
    </row>
    <row r="218" spans="1:120">
      <c r="A218">
        <v>62398</v>
      </c>
      <c r="B218" s="1" t="s">
        <v>220</v>
      </c>
      <c r="C218" s="1" t="s">
        <v>221</v>
      </c>
      <c r="D218" s="1" t="str">
        <f>VLOOKUP( 1,Squads!A:E,5,0)</f>
        <v>MUN</v>
      </c>
      <c r="E218" s="1" t="str">
        <f>VLOOKUP( 3,$CX$2:$CY$5,2,0)</f>
        <v>MID</v>
      </c>
      <c r="F218" s="8">
        <v>3100000</v>
      </c>
      <c r="G218" s="1" t="s">
        <v>0</v>
      </c>
      <c r="H218" s="1">
        <v>3000000</v>
      </c>
      <c r="I218" s="1">
        <v>3000000</v>
      </c>
      <c r="J218" s="3">
        <v>3000000</v>
      </c>
      <c r="K218" s="3">
        <v>3100000</v>
      </c>
      <c r="L218" s="3">
        <v>3</v>
      </c>
      <c r="M218" s="3">
        <v>3</v>
      </c>
      <c r="N218" s="3">
        <v>3</v>
      </c>
      <c r="O218" s="3">
        <v>71</v>
      </c>
      <c r="P218" s="3">
        <v>95</v>
      </c>
      <c r="Q218" s="3">
        <v>3</v>
      </c>
      <c r="R218" s="3">
        <v>9</v>
      </c>
      <c r="S218" s="3">
        <v>3</v>
      </c>
      <c r="T218" s="3">
        <v>3</v>
      </c>
      <c r="U218" s="3">
        <v>3</v>
      </c>
      <c r="V218" s="3">
        <v>3</v>
      </c>
      <c r="W218" s="3">
        <v>2.8</v>
      </c>
      <c r="X218" s="3">
        <v>88992</v>
      </c>
      <c r="Y218" s="3">
        <v>7.8</v>
      </c>
      <c r="Z218" s="3">
        <v>0</v>
      </c>
      <c r="CP218" s="7"/>
      <c r="CR218" s="6"/>
      <c r="CX218" s="9"/>
      <c r="DA218"/>
      <c r="DC218"/>
      <c r="DD218" s="1"/>
      <c r="DF218" s="1"/>
      <c r="DH218" s="1"/>
      <c r="DJ218" s="1"/>
      <c r="DL218" s="1"/>
      <c r="DN218" s="1"/>
      <c r="DP218" s="1"/>
    </row>
    <row r="219" spans="1:120">
      <c r="A219">
        <v>62399</v>
      </c>
      <c r="B219" s="1" t="s">
        <v>138</v>
      </c>
      <c r="C219" s="1" t="s">
        <v>139</v>
      </c>
      <c r="D219" s="1" t="str">
        <f>VLOOKUP( 20,Squads!A:E,5,0)</f>
        <v>SOU</v>
      </c>
      <c r="E219" s="1" t="str">
        <f>VLOOKUP( 3,$CX$2:$CY$5,2,0)</f>
        <v>MID</v>
      </c>
      <c r="F219" s="8">
        <v>2100000</v>
      </c>
      <c r="G219" s="1" t="s">
        <v>0</v>
      </c>
      <c r="H219" s="1">
        <v>2000000</v>
      </c>
      <c r="I219" s="1">
        <v>2000000</v>
      </c>
      <c r="J219" s="3">
        <v>2000000</v>
      </c>
      <c r="K219" s="3">
        <v>2100000</v>
      </c>
      <c r="L219" s="3">
        <v>3</v>
      </c>
      <c r="M219" s="3">
        <v>7</v>
      </c>
      <c r="N219" s="3">
        <v>0</v>
      </c>
      <c r="O219" s="3">
        <v>108</v>
      </c>
      <c r="P219" s="3">
        <v>87</v>
      </c>
      <c r="Q219" s="3">
        <v>4</v>
      </c>
      <c r="R219" s="3">
        <v>10</v>
      </c>
      <c r="S219" s="3">
        <v>2.5</v>
      </c>
      <c r="T219" s="3">
        <v>7</v>
      </c>
      <c r="U219" s="3">
        <v>0</v>
      </c>
      <c r="V219" s="3">
        <v>2.2999999999999998</v>
      </c>
      <c r="W219" s="3">
        <v>2</v>
      </c>
      <c r="X219" s="3">
        <v>7360</v>
      </c>
      <c r="Y219" s="3">
        <v>0.6</v>
      </c>
      <c r="Z219" s="3">
        <v>0</v>
      </c>
      <c r="CP219" s="7"/>
      <c r="CR219" s="6"/>
      <c r="CX219" s="9"/>
      <c r="DA219"/>
      <c r="DC219"/>
      <c r="DD219" s="1"/>
      <c r="DF219" s="1"/>
      <c r="DH219" s="1"/>
      <c r="DJ219" s="1"/>
      <c r="DL219" s="1"/>
      <c r="DN219" s="1"/>
      <c r="DP219" s="1"/>
    </row>
    <row r="220" spans="1:120">
      <c r="A220">
        <v>62974</v>
      </c>
      <c r="B220" s="1" t="s">
        <v>254</v>
      </c>
      <c r="C220" s="1" t="s">
        <v>166</v>
      </c>
      <c r="D220" s="1" t="str">
        <f>VLOOKUP( 6,Squads!A:E,5,0)</f>
        <v>TOT</v>
      </c>
      <c r="E220" s="1" t="str">
        <f>VLOOKUP( 3,$CX$2:$CY$5,2,0)</f>
        <v>MID</v>
      </c>
      <c r="F220" s="8">
        <v>3000000</v>
      </c>
      <c r="G220" s="1" t="s">
        <v>1011</v>
      </c>
      <c r="H220" s="1">
        <v>3000000</v>
      </c>
      <c r="I220" s="1">
        <v>3000000</v>
      </c>
      <c r="J220" s="3">
        <v>3000000</v>
      </c>
      <c r="K220" s="3">
        <v>3000000</v>
      </c>
      <c r="O220" s="3">
        <v>0</v>
      </c>
      <c r="P220" s="3">
        <v>218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1.7</v>
      </c>
      <c r="W220" s="3">
        <v>3.4</v>
      </c>
      <c r="X220" s="3">
        <v>620</v>
      </c>
      <c r="Y220" s="3">
        <v>0.1</v>
      </c>
      <c r="Z220" s="3">
        <v>0</v>
      </c>
      <c r="CP220" s="7"/>
      <c r="CR220" s="6"/>
      <c r="CX220" s="9"/>
      <c r="DA220"/>
      <c r="DC220"/>
      <c r="DD220" s="1"/>
      <c r="DF220" s="1"/>
      <c r="DH220" s="1"/>
      <c r="DJ220" s="1"/>
      <c r="DL220" s="1"/>
      <c r="DN220" s="1"/>
      <c r="DP220" s="1"/>
    </row>
    <row r="221" spans="1:120">
      <c r="A221">
        <v>63370</v>
      </c>
      <c r="B221" s="1" t="s">
        <v>149</v>
      </c>
      <c r="C221" s="1" t="s">
        <v>361</v>
      </c>
      <c r="D221" s="1" t="str">
        <f>VLOOKUP( 35,Squads!A:E,5,0)</f>
        <v>WBA</v>
      </c>
      <c r="E221" s="1" t="str">
        <f>VLOOKUP( 3,$CX$2:$CY$5,2,0)</f>
        <v>MID</v>
      </c>
      <c r="F221" s="8">
        <v>900000</v>
      </c>
      <c r="G221" s="1" t="s">
        <v>0</v>
      </c>
      <c r="H221" s="1">
        <v>1000000</v>
      </c>
      <c r="I221" s="1">
        <v>1000000</v>
      </c>
      <c r="J221" s="3">
        <v>1000000</v>
      </c>
      <c r="K221" s="3">
        <v>900000</v>
      </c>
      <c r="L221" s="3">
        <v>3</v>
      </c>
      <c r="M221" s="3">
        <v>-1</v>
      </c>
      <c r="N221" s="3">
        <v>0</v>
      </c>
      <c r="O221" s="3">
        <v>108</v>
      </c>
      <c r="P221" s="3">
        <v>197</v>
      </c>
      <c r="Q221" s="3">
        <v>4</v>
      </c>
      <c r="R221" s="3">
        <v>2</v>
      </c>
      <c r="S221" s="3">
        <v>0.5</v>
      </c>
      <c r="T221" s="3">
        <v>3</v>
      </c>
      <c r="U221" s="3">
        <v>-1</v>
      </c>
      <c r="V221" s="3">
        <v>-0.3</v>
      </c>
      <c r="W221" s="3">
        <v>0.4</v>
      </c>
      <c r="X221" s="3">
        <v>1818</v>
      </c>
      <c r="Y221" s="3">
        <v>0.2</v>
      </c>
      <c r="Z221" s="3">
        <v>0</v>
      </c>
      <c r="CP221" s="7"/>
      <c r="CR221" s="6"/>
      <c r="CX221" s="9"/>
      <c r="DA221"/>
      <c r="DC221"/>
      <c r="DD221" s="1"/>
      <c r="DF221" s="1"/>
      <c r="DH221" s="1"/>
      <c r="DJ221" s="1"/>
      <c r="DL221" s="1"/>
      <c r="DN221" s="1"/>
      <c r="DP221" s="1"/>
    </row>
    <row r="222" spans="1:120">
      <c r="A222">
        <v>66749</v>
      </c>
      <c r="B222" s="1" t="s">
        <v>26</v>
      </c>
      <c r="C222" s="1" t="s">
        <v>27</v>
      </c>
      <c r="D222" s="1" t="str">
        <f>VLOOKUP( 1,Squads!A:E,5,0)</f>
        <v>MUN</v>
      </c>
      <c r="E222" s="1" t="str">
        <f>VLOOKUP( 4,$CX$2:$CY$5,2,0)</f>
        <v>STR</v>
      </c>
      <c r="F222" s="8">
        <v>6100000</v>
      </c>
      <c r="G222" s="1" t="s">
        <v>0</v>
      </c>
      <c r="H222" s="1">
        <v>6000000</v>
      </c>
      <c r="I222" s="1">
        <v>6000000</v>
      </c>
      <c r="J222" s="3">
        <v>6000000</v>
      </c>
      <c r="K222" s="3">
        <v>6100000</v>
      </c>
      <c r="L222" s="3">
        <v>13</v>
      </c>
      <c r="M222" s="3">
        <v>8</v>
      </c>
      <c r="N222" s="3">
        <v>0</v>
      </c>
      <c r="O222" s="3">
        <v>108</v>
      </c>
      <c r="P222" s="3">
        <v>20</v>
      </c>
      <c r="Q222" s="3">
        <v>3</v>
      </c>
      <c r="R222" s="3">
        <v>21</v>
      </c>
      <c r="S222" s="3">
        <v>7</v>
      </c>
      <c r="T222" s="3">
        <v>13</v>
      </c>
      <c r="U222" s="3">
        <v>0</v>
      </c>
      <c r="V222" s="3">
        <v>7</v>
      </c>
      <c r="W222" s="3">
        <v>12.8</v>
      </c>
      <c r="X222" s="3">
        <v>718701</v>
      </c>
      <c r="Y222" s="3">
        <v>63</v>
      </c>
      <c r="Z222" s="3">
        <v>0</v>
      </c>
      <c r="CP222" s="7"/>
      <c r="CR222" s="6"/>
      <c r="CX222" s="9"/>
      <c r="DA222"/>
      <c r="DC222"/>
      <c r="DD222" s="1"/>
      <c r="DF222" s="1"/>
      <c r="DH222" s="1"/>
      <c r="DJ222" s="1"/>
      <c r="DL222" s="1"/>
      <c r="DN222" s="1"/>
      <c r="DP222" s="1"/>
    </row>
    <row r="223" spans="1:120">
      <c r="A223">
        <v>66797</v>
      </c>
      <c r="B223" s="1" t="s">
        <v>44</v>
      </c>
      <c r="C223" s="1" t="s">
        <v>45</v>
      </c>
      <c r="D223" s="1" t="str">
        <f>VLOOKUP( 14,Squads!A:E,5,0)</f>
        <v>LIV</v>
      </c>
      <c r="E223" s="1" t="str">
        <f>VLOOKUP( 1,$CX$2:$CY$5,2,0)</f>
        <v>GK</v>
      </c>
      <c r="F223" s="8">
        <v>3500000</v>
      </c>
      <c r="G223" s="1" t="s">
        <v>0</v>
      </c>
      <c r="H223" s="1">
        <v>3500000</v>
      </c>
      <c r="I223" s="1">
        <v>3500000</v>
      </c>
      <c r="J223" s="3">
        <v>3500000</v>
      </c>
      <c r="K223" s="3">
        <v>3500000</v>
      </c>
      <c r="L223" s="3">
        <v>3</v>
      </c>
      <c r="M223" s="3">
        <v>4</v>
      </c>
      <c r="O223" s="3">
        <v>0</v>
      </c>
      <c r="P223" s="3">
        <v>124</v>
      </c>
      <c r="Q223" s="3">
        <v>4</v>
      </c>
      <c r="R223" s="3">
        <v>7</v>
      </c>
      <c r="S223" s="3">
        <v>1.8</v>
      </c>
      <c r="T223" s="3">
        <v>6</v>
      </c>
      <c r="U223" s="3">
        <v>-3</v>
      </c>
      <c r="V223" s="3">
        <v>3.3</v>
      </c>
      <c r="W223" s="3">
        <v>1</v>
      </c>
      <c r="X223" s="3">
        <v>16695</v>
      </c>
      <c r="Y223" s="3">
        <v>1.5</v>
      </c>
      <c r="Z223" s="3">
        <v>0</v>
      </c>
      <c r="CP223" s="7"/>
      <c r="CR223" s="6"/>
      <c r="CX223" s="9"/>
      <c r="DA223"/>
      <c r="DC223"/>
      <c r="DD223" s="1"/>
      <c r="DF223" s="1"/>
      <c r="DH223" s="1"/>
      <c r="DJ223" s="1"/>
      <c r="DL223" s="1"/>
      <c r="DN223" s="1"/>
      <c r="DP223" s="1"/>
    </row>
    <row r="224" spans="1:120">
      <c r="A224">
        <v>66975</v>
      </c>
      <c r="B224" s="1" t="s">
        <v>991</v>
      </c>
      <c r="C224" s="1" t="s">
        <v>992</v>
      </c>
      <c r="D224" s="1" t="str">
        <f>VLOOKUP( 31,Squads!A:E,5,0)</f>
        <v>CRY</v>
      </c>
      <c r="E224" s="1" t="str">
        <f>VLOOKUP( 3,$CX$2:$CY$5,2,0)</f>
        <v>MID</v>
      </c>
      <c r="F224" s="8">
        <v>2300000</v>
      </c>
      <c r="G224" s="1" t="s">
        <v>0</v>
      </c>
      <c r="H224" s="1">
        <v>2500000</v>
      </c>
      <c r="I224" s="1">
        <v>2500000</v>
      </c>
      <c r="J224" s="3">
        <v>2500000</v>
      </c>
      <c r="K224" s="3">
        <v>2300000</v>
      </c>
      <c r="L224" s="3">
        <v>0</v>
      </c>
      <c r="M224" s="3">
        <v>0</v>
      </c>
      <c r="N224" s="3">
        <v>0</v>
      </c>
      <c r="O224" s="3">
        <v>108</v>
      </c>
      <c r="P224" s="3">
        <v>218</v>
      </c>
      <c r="Q224" s="3">
        <v>3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0.8</v>
      </c>
      <c r="X224" s="3">
        <v>793</v>
      </c>
      <c r="Y224" s="3">
        <v>0.1</v>
      </c>
      <c r="Z224" s="3">
        <v>0</v>
      </c>
      <c r="CP224" s="7"/>
      <c r="CR224" s="6"/>
      <c r="CX224" s="9"/>
      <c r="DA224"/>
      <c r="DC224"/>
      <c r="DD224" s="1"/>
      <c r="DF224" s="1"/>
      <c r="DH224" s="1"/>
      <c r="DJ224" s="1"/>
      <c r="DL224" s="1"/>
      <c r="DN224" s="1"/>
      <c r="DP224" s="1"/>
    </row>
    <row r="225" spans="1:120">
      <c r="A225">
        <v>67527</v>
      </c>
      <c r="B225" s="1" t="s">
        <v>426</v>
      </c>
      <c r="C225" s="1" t="s">
        <v>382</v>
      </c>
      <c r="D225" s="1" t="str">
        <f>VLOOKUP( 35,Squads!A:E,5,0)</f>
        <v>WBA</v>
      </c>
      <c r="E225" s="1" t="str">
        <f>VLOOKUP( 2,$CX$2:$CY$5,2,0)</f>
        <v>DEF</v>
      </c>
      <c r="F225" s="8">
        <v>2300000</v>
      </c>
      <c r="G225" s="1" t="s">
        <v>0</v>
      </c>
      <c r="H225" s="1">
        <v>2000000</v>
      </c>
      <c r="I225" s="1">
        <v>2000000</v>
      </c>
      <c r="J225" s="3">
        <v>2000000</v>
      </c>
      <c r="K225" s="3">
        <v>2300000</v>
      </c>
      <c r="L225" s="3">
        <v>5</v>
      </c>
      <c r="M225" s="3">
        <v>5</v>
      </c>
      <c r="N225" s="3">
        <v>10</v>
      </c>
      <c r="O225" s="3">
        <v>6</v>
      </c>
      <c r="P225" s="3">
        <v>26</v>
      </c>
      <c r="Q225" s="3">
        <v>4</v>
      </c>
      <c r="R225" s="3">
        <v>20</v>
      </c>
      <c r="S225" s="3">
        <v>5</v>
      </c>
      <c r="T225" s="3">
        <v>10</v>
      </c>
      <c r="U225" s="3">
        <v>0</v>
      </c>
      <c r="V225" s="3">
        <v>5</v>
      </c>
      <c r="W225" s="3">
        <v>3.4</v>
      </c>
      <c r="X225" s="3">
        <v>6837</v>
      </c>
      <c r="Y225" s="3">
        <v>0.6</v>
      </c>
      <c r="Z225" s="3">
        <v>0</v>
      </c>
      <c r="CP225" s="7"/>
      <c r="CR225" s="6"/>
      <c r="CX225" s="9"/>
      <c r="DA225"/>
      <c r="DC225"/>
      <c r="DD225" s="1"/>
      <c r="DF225" s="1"/>
      <c r="DH225" s="1"/>
      <c r="DJ225" s="1"/>
      <c r="DL225" s="1"/>
      <c r="DN225" s="1"/>
      <c r="DP225" s="1"/>
    </row>
    <row r="226" spans="1:120">
      <c r="A226">
        <v>68312</v>
      </c>
      <c r="B226" s="1" t="s">
        <v>153</v>
      </c>
      <c r="C226" s="1" t="s">
        <v>154</v>
      </c>
      <c r="D226" s="1" t="str">
        <f>VLOOKUP( 110,Squads!A:E,5,0)</f>
        <v>STK</v>
      </c>
      <c r="E226" s="1" t="str">
        <f>VLOOKUP( 3,$CX$2:$CY$5,2,0)</f>
        <v>MID</v>
      </c>
      <c r="F226" s="8">
        <v>2400000</v>
      </c>
      <c r="G226" s="1" t="s">
        <v>1011</v>
      </c>
      <c r="H226" s="1">
        <v>2500000</v>
      </c>
      <c r="I226" s="1">
        <v>2500000</v>
      </c>
      <c r="J226" s="3">
        <v>2500000</v>
      </c>
      <c r="K226" s="3">
        <v>2400000</v>
      </c>
      <c r="L226" s="3">
        <v>0</v>
      </c>
      <c r="M226" s="3">
        <v>0</v>
      </c>
      <c r="N226" s="3">
        <v>3</v>
      </c>
      <c r="O226" s="3">
        <v>71</v>
      </c>
      <c r="P226" s="3">
        <v>178</v>
      </c>
      <c r="Q226" s="3">
        <v>3</v>
      </c>
      <c r="R226" s="3">
        <v>3</v>
      </c>
      <c r="S226" s="3">
        <v>1</v>
      </c>
      <c r="T226" s="3">
        <v>3</v>
      </c>
      <c r="U226" s="3">
        <v>0</v>
      </c>
      <c r="V226" s="3">
        <v>1</v>
      </c>
      <c r="W226" s="3">
        <v>1.2</v>
      </c>
      <c r="X226" s="3">
        <v>6604</v>
      </c>
      <c r="Y226" s="3">
        <v>0.6</v>
      </c>
      <c r="Z226" s="3">
        <v>0</v>
      </c>
      <c r="CP226" s="7"/>
      <c r="CR226" s="6"/>
      <c r="CX226" s="9"/>
      <c r="DA226"/>
      <c r="DC226"/>
      <c r="DD226" s="1"/>
      <c r="DF226" s="1"/>
      <c r="DH226" s="1"/>
      <c r="DJ226" s="1"/>
      <c r="DL226" s="1"/>
      <c r="DN226" s="1"/>
      <c r="DP226" s="1"/>
    </row>
    <row r="227" spans="1:120">
      <c r="A227">
        <v>68983</v>
      </c>
      <c r="B227" s="1" t="s">
        <v>339</v>
      </c>
      <c r="C227" s="1" t="s">
        <v>340</v>
      </c>
      <c r="D227" s="1" t="str">
        <f>VLOOKUP( 90,Squads!A:E,5,0)</f>
        <v>BUR</v>
      </c>
      <c r="E227" s="1" t="str">
        <f>VLOOKUP( 2,$CX$2:$CY$5,2,0)</f>
        <v>DEF</v>
      </c>
      <c r="F227" s="8">
        <v>2500000</v>
      </c>
      <c r="G227" s="1" t="s">
        <v>0</v>
      </c>
      <c r="H227" s="1">
        <v>2500000</v>
      </c>
      <c r="I227" s="1">
        <v>2500000</v>
      </c>
      <c r="J227" s="3">
        <v>2500000</v>
      </c>
      <c r="K227" s="3">
        <v>2500000</v>
      </c>
      <c r="L227" s="3">
        <v>4</v>
      </c>
      <c r="M227" s="3">
        <v>0</v>
      </c>
      <c r="N227" s="3">
        <v>3</v>
      </c>
      <c r="O227" s="3">
        <v>71</v>
      </c>
      <c r="P227" s="3">
        <v>124</v>
      </c>
      <c r="Q227" s="3">
        <v>3</v>
      </c>
      <c r="R227" s="3">
        <v>7</v>
      </c>
      <c r="S227" s="3">
        <v>2.2999999999999998</v>
      </c>
      <c r="T227" s="3">
        <v>4</v>
      </c>
      <c r="U227" s="3">
        <v>0</v>
      </c>
      <c r="V227" s="3">
        <v>2.2999999999999998</v>
      </c>
      <c r="W227" s="3">
        <v>3.2</v>
      </c>
      <c r="X227" s="3">
        <v>5324</v>
      </c>
      <c r="Y227" s="3">
        <v>0.5</v>
      </c>
      <c r="Z227" s="3">
        <v>0</v>
      </c>
      <c r="CP227" s="7"/>
      <c r="CR227" s="6"/>
      <c r="CX227" s="9"/>
      <c r="DA227"/>
      <c r="DC227"/>
      <c r="DD227" s="1"/>
      <c r="DF227" s="1"/>
      <c r="DH227" s="1"/>
      <c r="DJ227" s="1"/>
      <c r="DL227" s="1"/>
      <c r="DN227" s="1"/>
      <c r="DP227" s="1"/>
    </row>
    <row r="228" spans="1:120">
      <c r="A228">
        <v>69140</v>
      </c>
      <c r="B228" s="1" t="s">
        <v>476</v>
      </c>
      <c r="C228" s="1" t="s">
        <v>477</v>
      </c>
      <c r="D228" s="1" t="str">
        <f>VLOOKUP( 3,Squads!A:E,5,0)</f>
        <v>ARS</v>
      </c>
      <c r="E228" s="1" t="str">
        <f>VLOOKUP( 2,$CX$2:$CY$5,2,0)</f>
        <v>DEF</v>
      </c>
      <c r="F228" s="8">
        <v>4500000</v>
      </c>
      <c r="G228" s="1" t="s">
        <v>0</v>
      </c>
      <c r="H228" s="1">
        <v>4500000</v>
      </c>
      <c r="I228" s="1">
        <v>4500000</v>
      </c>
      <c r="J228" s="3">
        <v>4500000</v>
      </c>
      <c r="K228" s="3">
        <v>4500000</v>
      </c>
      <c r="M228" s="3">
        <v>0</v>
      </c>
      <c r="O228" s="3">
        <v>0</v>
      </c>
      <c r="P228" s="3">
        <v>218</v>
      </c>
      <c r="Q228" s="3">
        <v>1</v>
      </c>
      <c r="R228" s="3">
        <v>0</v>
      </c>
      <c r="S228" s="3">
        <v>0</v>
      </c>
      <c r="T228" s="3">
        <v>0</v>
      </c>
      <c r="U228" s="3">
        <v>0</v>
      </c>
      <c r="V228" s="3">
        <v>-0.3</v>
      </c>
      <c r="W228" s="3">
        <v>1.8</v>
      </c>
      <c r="X228" s="3">
        <v>21034</v>
      </c>
      <c r="Y228" s="3">
        <v>1.8</v>
      </c>
      <c r="Z228" s="3">
        <v>0</v>
      </c>
      <c r="CP228" s="7"/>
      <c r="CR228" s="6"/>
      <c r="CX228" s="9"/>
      <c r="DA228"/>
      <c r="DC228"/>
      <c r="DD228" s="1"/>
      <c r="DF228" s="1"/>
      <c r="DH228" s="1"/>
      <c r="DJ228" s="1"/>
      <c r="DL228" s="1"/>
      <c r="DN228" s="1"/>
      <c r="DP228" s="1"/>
    </row>
    <row r="229" spans="1:120">
      <c r="A229">
        <v>73426</v>
      </c>
      <c r="B229" s="1" t="s">
        <v>171</v>
      </c>
      <c r="C229" s="1" t="s">
        <v>172</v>
      </c>
      <c r="D229" s="1" t="str">
        <f>VLOOKUP( 57,Squads!A:E,5,0)</f>
        <v>WAT</v>
      </c>
      <c r="E229" s="1" t="str">
        <f>VLOOKUP( 4,$CX$2:$CY$5,2,0)</f>
        <v>STR</v>
      </c>
      <c r="F229" s="8">
        <v>2700000</v>
      </c>
      <c r="G229" s="1" t="s">
        <v>0</v>
      </c>
      <c r="H229" s="1">
        <v>3000000</v>
      </c>
      <c r="I229" s="1">
        <v>3000000</v>
      </c>
      <c r="J229" s="3">
        <v>3000000</v>
      </c>
      <c r="K229" s="3">
        <v>2700000</v>
      </c>
      <c r="L229" s="3">
        <v>0</v>
      </c>
      <c r="M229" s="3">
        <v>-1</v>
      </c>
      <c r="N229" s="3">
        <v>0</v>
      </c>
      <c r="O229" s="3">
        <v>108</v>
      </c>
      <c r="P229" s="3">
        <v>342</v>
      </c>
      <c r="Q229" s="3">
        <v>4</v>
      </c>
      <c r="R229" s="3">
        <v>-1</v>
      </c>
      <c r="S229" s="3">
        <v>-0.3</v>
      </c>
      <c r="T229" s="3">
        <v>0</v>
      </c>
      <c r="U229" s="3">
        <v>-1</v>
      </c>
      <c r="V229" s="3">
        <v>-0.3</v>
      </c>
      <c r="W229" s="3">
        <v>-0.2</v>
      </c>
      <c r="X229" s="3">
        <v>4595</v>
      </c>
      <c r="Y229" s="3">
        <v>0.4</v>
      </c>
      <c r="Z229" s="3">
        <v>0</v>
      </c>
      <c r="CX229" s="9"/>
      <c r="DA229"/>
      <c r="DC229"/>
      <c r="DD229" s="1"/>
      <c r="DF229" s="1"/>
      <c r="DH229" s="1"/>
      <c r="DJ229" s="1"/>
      <c r="DL229" s="1"/>
      <c r="DN229" s="1"/>
      <c r="DP229" s="1"/>
    </row>
    <row r="230" spans="1:120">
      <c r="A230">
        <v>74208</v>
      </c>
      <c r="B230" s="1" t="s">
        <v>427</v>
      </c>
      <c r="C230" s="1" t="s">
        <v>428</v>
      </c>
      <c r="D230" s="1" t="str">
        <f>VLOOKUP( 1,Squads!A:E,5,0)</f>
        <v>MUN</v>
      </c>
      <c r="E230" s="1" t="str">
        <f>VLOOKUP( 3,$CX$2:$CY$5,2,0)</f>
        <v>MID</v>
      </c>
      <c r="F230" s="8">
        <v>6100000</v>
      </c>
      <c r="G230" s="1" t="s">
        <v>0</v>
      </c>
      <c r="H230" s="1">
        <v>6000000</v>
      </c>
      <c r="I230" s="1">
        <v>6000000</v>
      </c>
      <c r="J230" s="3">
        <v>6000000</v>
      </c>
      <c r="K230" s="3">
        <v>6100000</v>
      </c>
      <c r="L230" s="3">
        <v>8</v>
      </c>
      <c r="M230" s="3">
        <v>9</v>
      </c>
      <c r="N230" s="3">
        <v>3</v>
      </c>
      <c r="O230" s="3">
        <v>71</v>
      </c>
      <c r="P230" s="3">
        <v>26</v>
      </c>
      <c r="Q230" s="3">
        <v>3</v>
      </c>
      <c r="R230" s="3">
        <v>20</v>
      </c>
      <c r="S230" s="3">
        <v>6.7</v>
      </c>
      <c r="T230" s="3">
        <v>9</v>
      </c>
      <c r="U230" s="3">
        <v>3</v>
      </c>
      <c r="V230" s="3">
        <v>6.7</v>
      </c>
      <c r="W230" s="3">
        <v>5</v>
      </c>
      <c r="X230" s="3">
        <v>385429</v>
      </c>
      <c r="Y230" s="3">
        <v>33.799999999999997</v>
      </c>
      <c r="Z230" s="3">
        <v>0</v>
      </c>
      <c r="CX230" s="9"/>
      <c r="DA230"/>
      <c r="DC230"/>
      <c r="DD230" s="1"/>
      <c r="DF230" s="1"/>
      <c r="DH230" s="1"/>
      <c r="DJ230" s="1"/>
      <c r="DL230" s="1"/>
      <c r="DN230" s="1"/>
      <c r="DP230" s="1"/>
    </row>
    <row r="231" spans="1:120">
      <c r="A231">
        <v>74230</v>
      </c>
      <c r="B231" s="1" t="s">
        <v>206</v>
      </c>
      <c r="C231" s="1" t="s">
        <v>207</v>
      </c>
      <c r="D231" s="1" t="str">
        <f>VLOOKUP( 31,Squads!A:E,5,0)</f>
        <v>CRY</v>
      </c>
      <c r="E231" s="1" t="str">
        <f>VLOOKUP( 2,$CX$2:$CY$5,2,0)</f>
        <v>DEF</v>
      </c>
      <c r="F231" s="8">
        <v>2700000</v>
      </c>
      <c r="G231" s="1" t="s">
        <v>0</v>
      </c>
      <c r="H231" s="1">
        <v>3000000</v>
      </c>
      <c r="I231" s="1">
        <v>3000000</v>
      </c>
      <c r="J231" s="3">
        <v>3000000</v>
      </c>
      <c r="K231" s="3">
        <v>2700000</v>
      </c>
      <c r="L231" s="3">
        <v>1</v>
      </c>
      <c r="M231" s="3">
        <v>2</v>
      </c>
      <c r="N231" s="3">
        <v>-1</v>
      </c>
      <c r="O231" s="3">
        <v>199</v>
      </c>
      <c r="P231" s="3">
        <v>197</v>
      </c>
      <c r="Q231" s="3">
        <v>4</v>
      </c>
      <c r="R231" s="3">
        <v>2</v>
      </c>
      <c r="S231" s="3">
        <v>0.5</v>
      </c>
      <c r="T231" s="3">
        <v>2</v>
      </c>
      <c r="U231" s="3">
        <v>-1</v>
      </c>
      <c r="V231" s="3">
        <v>0.3</v>
      </c>
      <c r="W231" s="3">
        <v>0.4</v>
      </c>
      <c r="X231" s="3">
        <v>26664</v>
      </c>
      <c r="Y231" s="3">
        <v>2.2999999999999998</v>
      </c>
      <c r="Z231" s="3">
        <v>0</v>
      </c>
      <c r="CX231" s="9"/>
      <c r="DA231"/>
      <c r="DC231"/>
      <c r="DD231" s="1"/>
      <c r="DF231" s="1"/>
      <c r="DH231" s="1"/>
      <c r="DJ231" s="1"/>
      <c r="DL231" s="1"/>
      <c r="DN231" s="1"/>
      <c r="DP231" s="1"/>
    </row>
    <row r="232" spans="1:120">
      <c r="A232">
        <v>74471</v>
      </c>
      <c r="B232" s="1" t="s">
        <v>22</v>
      </c>
      <c r="C232" s="1" t="s">
        <v>792</v>
      </c>
      <c r="D232" s="1" t="str">
        <f>VLOOKUP( 38,Squads!A:E,5,0)</f>
        <v>HUD</v>
      </c>
      <c r="E232" s="1" t="str">
        <f>VLOOKUP( 3,$CX$2:$CY$5,2,0)</f>
        <v>MID</v>
      </c>
      <c r="F232" s="8">
        <v>2700000</v>
      </c>
      <c r="G232" s="1" t="s">
        <v>0</v>
      </c>
      <c r="H232" s="1">
        <v>2500000</v>
      </c>
      <c r="I232" s="1">
        <v>2500000</v>
      </c>
      <c r="J232" s="3">
        <v>2500000</v>
      </c>
      <c r="K232" s="3">
        <v>2700000</v>
      </c>
      <c r="L232" s="3">
        <v>5</v>
      </c>
      <c r="M232" s="3">
        <v>8</v>
      </c>
      <c r="N232" s="3">
        <v>0</v>
      </c>
      <c r="O232" s="3">
        <v>108</v>
      </c>
      <c r="P232" s="3">
        <v>64</v>
      </c>
      <c r="Q232" s="3">
        <v>3</v>
      </c>
      <c r="R232" s="3">
        <v>13</v>
      </c>
      <c r="S232" s="3">
        <v>4.3</v>
      </c>
      <c r="T232" s="3">
        <v>8</v>
      </c>
      <c r="U232" s="3">
        <v>0</v>
      </c>
      <c r="V232" s="3">
        <v>4.3</v>
      </c>
      <c r="W232" s="3">
        <v>4.3</v>
      </c>
      <c r="X232" s="3">
        <v>9537</v>
      </c>
      <c r="Y232" s="3">
        <v>0.8</v>
      </c>
      <c r="Z232" s="3">
        <v>0</v>
      </c>
      <c r="CX232" s="9"/>
      <c r="DA232"/>
      <c r="DC232"/>
      <c r="DD232" s="1"/>
      <c r="DF232" s="1"/>
      <c r="DH232" s="1"/>
      <c r="DJ232" s="1"/>
      <c r="DL232" s="1"/>
      <c r="DN232" s="1"/>
      <c r="DP232" s="1"/>
    </row>
    <row r="233" spans="1:120">
      <c r="A233">
        <v>75115</v>
      </c>
      <c r="B233" s="1" t="s">
        <v>185</v>
      </c>
      <c r="C233" s="1" t="s">
        <v>186</v>
      </c>
      <c r="D233" s="1" t="str">
        <f>VLOOKUP( 91,Squads!A:E,5,0)</f>
        <v>BOU</v>
      </c>
      <c r="E233" s="1" t="str">
        <f>VLOOKUP( 4,$CX$2:$CY$5,2,0)</f>
        <v>STR</v>
      </c>
      <c r="F233" s="8">
        <v>2000000</v>
      </c>
      <c r="G233" s="1" t="s">
        <v>1011</v>
      </c>
      <c r="H233" s="1">
        <v>2000000</v>
      </c>
      <c r="I233" s="1">
        <v>2000000</v>
      </c>
      <c r="J233" s="3">
        <v>2000000</v>
      </c>
      <c r="K233" s="3">
        <v>2000000</v>
      </c>
      <c r="O233" s="3">
        <v>0</v>
      </c>
      <c r="P233" s="3">
        <v>218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2.7</v>
      </c>
      <c r="W233" s="3">
        <v>3.6</v>
      </c>
      <c r="X233" s="3">
        <v>1303</v>
      </c>
      <c r="Y233" s="3">
        <v>0.1</v>
      </c>
      <c r="Z233" s="3">
        <v>0</v>
      </c>
      <c r="CX233" s="9"/>
      <c r="DA233"/>
      <c r="DC233"/>
      <c r="DD233" s="1"/>
      <c r="DF233" s="1"/>
      <c r="DH233" s="1"/>
      <c r="DJ233" s="1"/>
      <c r="DL233" s="1"/>
      <c r="DN233" s="1"/>
      <c r="DP233" s="1"/>
    </row>
    <row r="234" spans="1:120">
      <c r="A234">
        <v>76359</v>
      </c>
      <c r="B234" s="1" t="s">
        <v>292</v>
      </c>
      <c r="C234" s="1" t="s">
        <v>228</v>
      </c>
      <c r="D234" s="1" t="str">
        <f>VLOOKUP( 1,Squads!A:E,5,0)</f>
        <v>MUN</v>
      </c>
      <c r="E234" s="1" t="str">
        <f>VLOOKUP( 2,$CX$2:$CY$5,2,0)</f>
        <v>DEF</v>
      </c>
      <c r="F234" s="8">
        <v>3800000</v>
      </c>
      <c r="G234" s="1" t="s">
        <v>0</v>
      </c>
      <c r="H234" s="1">
        <v>3500000</v>
      </c>
      <c r="I234" s="1">
        <v>3500000</v>
      </c>
      <c r="J234" s="3">
        <v>3500000</v>
      </c>
      <c r="K234" s="3">
        <v>3800000</v>
      </c>
      <c r="L234" s="3">
        <v>8</v>
      </c>
      <c r="M234" s="3">
        <v>8</v>
      </c>
      <c r="N234" s="3">
        <v>8</v>
      </c>
      <c r="O234" s="3">
        <v>13</v>
      </c>
      <c r="P234" s="3">
        <v>10</v>
      </c>
      <c r="Q234" s="3">
        <v>3</v>
      </c>
      <c r="R234" s="3">
        <v>24</v>
      </c>
      <c r="S234" s="3">
        <v>8</v>
      </c>
      <c r="T234" s="3">
        <v>8</v>
      </c>
      <c r="U234" s="3">
        <v>8</v>
      </c>
      <c r="V234" s="3">
        <v>8</v>
      </c>
      <c r="W234" s="3">
        <v>7</v>
      </c>
      <c r="X234" s="3">
        <v>28467</v>
      </c>
      <c r="Y234" s="3">
        <v>2.5</v>
      </c>
      <c r="Z234" s="3">
        <v>0</v>
      </c>
      <c r="CX234" s="9"/>
      <c r="DA234"/>
      <c r="DC234"/>
      <c r="DD234" s="1"/>
      <c r="DF234" s="1"/>
      <c r="DH234" s="1"/>
      <c r="DJ234" s="1"/>
      <c r="DL234" s="1"/>
      <c r="DN234" s="1"/>
      <c r="DP234" s="1"/>
    </row>
    <row r="235" spans="1:120">
      <c r="A235">
        <v>76542</v>
      </c>
      <c r="B235" s="1" t="s">
        <v>376</v>
      </c>
      <c r="C235" s="1" t="s">
        <v>377</v>
      </c>
      <c r="D235" s="1" t="str">
        <f>VLOOKUP( 80,Squads!A:E,5,0)</f>
        <v>SWA</v>
      </c>
      <c r="E235" s="1" t="str">
        <f>VLOOKUP( 3,$CX$2:$CY$5,2,0)</f>
        <v>MID</v>
      </c>
      <c r="F235" s="8">
        <v>1000000</v>
      </c>
      <c r="G235" s="1" t="s">
        <v>1011</v>
      </c>
      <c r="H235" s="1">
        <v>1000000</v>
      </c>
      <c r="I235" s="1">
        <v>1000000</v>
      </c>
      <c r="J235" s="3">
        <v>1000000</v>
      </c>
      <c r="K235" s="3">
        <v>1000000</v>
      </c>
      <c r="O235" s="3">
        <v>0</v>
      </c>
      <c r="P235" s="3">
        <v>218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-0.3</v>
      </c>
      <c r="W235" s="3">
        <v>-0.2</v>
      </c>
      <c r="X235" s="3">
        <v>409</v>
      </c>
      <c r="Y235" s="3">
        <v>0</v>
      </c>
      <c r="Z235" s="3">
        <v>0</v>
      </c>
      <c r="CX235" s="9"/>
      <c r="DA235"/>
      <c r="DC235"/>
      <c r="DD235" s="1"/>
      <c r="DF235" s="1"/>
      <c r="DH235" s="1"/>
      <c r="DJ235" s="1"/>
      <c r="DL235" s="1"/>
      <c r="DN235" s="1"/>
      <c r="DP235" s="1"/>
    </row>
    <row r="236" spans="1:120">
      <c r="A236">
        <v>77359</v>
      </c>
      <c r="B236" s="1" t="s">
        <v>969</v>
      </c>
      <c r="C236" s="1" t="s">
        <v>970</v>
      </c>
      <c r="D236" s="1" t="str">
        <f>VLOOKUP( 4,Squads!A:E,5,0)</f>
        <v>NEW</v>
      </c>
      <c r="E236" s="1" t="str">
        <f>VLOOKUP( 2,$CX$2:$CY$5,2,0)</f>
        <v>DEF</v>
      </c>
      <c r="F236" s="8">
        <v>2000000</v>
      </c>
      <c r="G236" s="1" t="s">
        <v>1011</v>
      </c>
      <c r="H236" s="1">
        <v>2000000</v>
      </c>
      <c r="I236" s="1">
        <v>2000000</v>
      </c>
      <c r="J236" s="3">
        <v>2000000</v>
      </c>
      <c r="K236" s="3">
        <v>2000000</v>
      </c>
      <c r="L236" s="3">
        <v>-1</v>
      </c>
      <c r="O236" s="3">
        <v>0</v>
      </c>
      <c r="P236" s="3">
        <v>342</v>
      </c>
      <c r="Q236" s="3">
        <v>1</v>
      </c>
      <c r="R236" s="3">
        <v>-1</v>
      </c>
      <c r="S236" s="3">
        <v>-1</v>
      </c>
      <c r="T236" s="3">
        <v>-1</v>
      </c>
      <c r="U236" s="3">
        <v>-1</v>
      </c>
      <c r="V236" s="3">
        <v>-1</v>
      </c>
      <c r="W236" s="3">
        <v>-1</v>
      </c>
      <c r="X236" s="3">
        <v>3208</v>
      </c>
      <c r="Y236" s="3">
        <v>0.3</v>
      </c>
      <c r="Z236" s="3">
        <v>0</v>
      </c>
      <c r="CX236" s="9"/>
      <c r="DA236"/>
      <c r="DC236"/>
      <c r="DD236" s="1"/>
      <c r="DF236" s="1"/>
      <c r="DH236" s="1"/>
      <c r="DJ236" s="1"/>
      <c r="DL236" s="1"/>
      <c r="DN236" s="1"/>
      <c r="DP236" s="1"/>
    </row>
    <row r="237" spans="1:120">
      <c r="A237">
        <v>77777</v>
      </c>
      <c r="B237" s="1" t="s">
        <v>1013</v>
      </c>
      <c r="C237" s="1" t="s">
        <v>1014</v>
      </c>
      <c r="D237" s="1" t="str">
        <f>VLOOKUP( 35,Squads!A:E,5,0)</f>
        <v>WBA</v>
      </c>
      <c r="E237" s="1" t="str">
        <f>VLOOKUP( 2,$CX$2:$CY$5,2,0)</f>
        <v>DEF</v>
      </c>
      <c r="F237" s="8">
        <v>1800000</v>
      </c>
      <c r="G237" s="1" t="s">
        <v>0</v>
      </c>
      <c r="H237" s="1">
        <v>1500000</v>
      </c>
      <c r="I237" s="1">
        <v>1500000</v>
      </c>
      <c r="J237" s="3">
        <v>1500000</v>
      </c>
      <c r="K237" s="3">
        <v>1800000</v>
      </c>
      <c r="L237" s="3">
        <v>18</v>
      </c>
      <c r="M237" s="3">
        <v>13</v>
      </c>
      <c r="N237" s="3">
        <v>0</v>
      </c>
      <c r="O237" s="3">
        <v>108</v>
      </c>
      <c r="P237" s="3">
        <v>4</v>
      </c>
      <c r="Q237" s="3">
        <v>4</v>
      </c>
      <c r="R237" s="3">
        <v>31</v>
      </c>
      <c r="S237" s="3">
        <v>7.8</v>
      </c>
      <c r="T237" s="3">
        <v>18</v>
      </c>
      <c r="U237" s="3">
        <v>0</v>
      </c>
      <c r="V237" s="3">
        <v>4.3</v>
      </c>
      <c r="W237" s="3">
        <v>7.8</v>
      </c>
      <c r="X237" s="3">
        <v>82496</v>
      </c>
      <c r="Y237" s="3">
        <v>7.2</v>
      </c>
      <c r="Z237" s="3">
        <v>0</v>
      </c>
      <c r="CX237" s="9"/>
      <c r="DA237"/>
      <c r="DC237"/>
      <c r="DD237" s="1"/>
      <c r="DF237" s="1"/>
      <c r="DH237" s="1"/>
      <c r="DJ237" s="1"/>
      <c r="DL237" s="1"/>
      <c r="DN237" s="1"/>
      <c r="DP237" s="1"/>
    </row>
    <row r="238" spans="1:120">
      <c r="A238">
        <v>77794</v>
      </c>
      <c r="B238" s="1" t="s">
        <v>277</v>
      </c>
      <c r="C238" s="1" t="s">
        <v>278</v>
      </c>
      <c r="D238" s="1" t="str">
        <f>VLOOKUP( 6,Squads!A:E,5,0)</f>
        <v>TOT</v>
      </c>
      <c r="E238" s="1" t="str">
        <f>VLOOKUP( 2,$CX$2:$CY$5,2,0)</f>
        <v>DEF</v>
      </c>
      <c r="F238" s="8">
        <v>3700000</v>
      </c>
      <c r="G238" s="1" t="s">
        <v>0</v>
      </c>
      <c r="H238" s="1">
        <v>4000000</v>
      </c>
      <c r="I238" s="1">
        <v>4000000</v>
      </c>
      <c r="J238" s="3">
        <v>4000000</v>
      </c>
      <c r="K238" s="3">
        <v>3700000</v>
      </c>
      <c r="M238" s="3">
        <v>-1</v>
      </c>
      <c r="N238" s="3">
        <v>0</v>
      </c>
      <c r="O238" s="3">
        <v>108</v>
      </c>
      <c r="P238" s="3">
        <v>342</v>
      </c>
      <c r="Q238" s="3">
        <v>2</v>
      </c>
      <c r="R238" s="3">
        <v>-1</v>
      </c>
      <c r="S238" s="3">
        <v>-0.5</v>
      </c>
      <c r="T238" s="3">
        <v>0</v>
      </c>
      <c r="U238" s="3">
        <v>-1</v>
      </c>
      <c r="V238" s="3">
        <v>-0.3</v>
      </c>
      <c r="W238" s="3">
        <v>1.2</v>
      </c>
      <c r="X238" s="3">
        <v>41086</v>
      </c>
      <c r="Y238" s="3">
        <v>3.6</v>
      </c>
      <c r="Z238" s="3">
        <v>0</v>
      </c>
      <c r="CX238" s="9"/>
      <c r="DA238"/>
      <c r="DC238"/>
      <c r="DD238" s="1"/>
      <c r="DF238" s="1"/>
      <c r="DH238" s="1"/>
      <c r="DJ238" s="1"/>
      <c r="DL238" s="1"/>
      <c r="DN238" s="1"/>
      <c r="DP238" s="1"/>
    </row>
    <row r="239" spans="1:120">
      <c r="A239">
        <v>78007</v>
      </c>
      <c r="B239" s="1" t="s">
        <v>348</v>
      </c>
      <c r="C239" s="1" t="s">
        <v>349</v>
      </c>
      <c r="D239" s="1" t="str">
        <f>VLOOKUP( 91,Squads!A:E,5,0)</f>
        <v>BOU</v>
      </c>
      <c r="E239" s="1" t="str">
        <f>VLOOKUP( 4,$CX$2:$CY$5,2,0)</f>
        <v>STR</v>
      </c>
      <c r="F239" s="8">
        <v>3800000</v>
      </c>
      <c r="G239" s="1" t="s">
        <v>0</v>
      </c>
      <c r="H239" s="1">
        <v>4000000</v>
      </c>
      <c r="I239" s="1">
        <v>4000000</v>
      </c>
      <c r="J239" s="3">
        <v>4000000</v>
      </c>
      <c r="K239" s="3">
        <v>3800000</v>
      </c>
      <c r="L239" s="3">
        <v>0</v>
      </c>
      <c r="M239" s="3">
        <v>0</v>
      </c>
      <c r="N239" s="3">
        <v>3</v>
      </c>
      <c r="O239" s="3">
        <v>71</v>
      </c>
      <c r="P239" s="3">
        <v>178</v>
      </c>
      <c r="Q239" s="3">
        <v>3</v>
      </c>
      <c r="R239" s="3">
        <v>3</v>
      </c>
      <c r="S239" s="3">
        <v>1</v>
      </c>
      <c r="T239" s="3">
        <v>3</v>
      </c>
      <c r="U239" s="3">
        <v>0</v>
      </c>
      <c r="V239" s="3">
        <v>1</v>
      </c>
      <c r="W239" s="3">
        <v>0.6</v>
      </c>
      <c r="X239" s="3">
        <v>9910</v>
      </c>
      <c r="Y239" s="3">
        <v>0.9</v>
      </c>
      <c r="Z239" s="3">
        <v>0</v>
      </c>
      <c r="CX239" s="9"/>
      <c r="DA239"/>
      <c r="DC239"/>
      <c r="DD239" s="1"/>
      <c r="DF239" s="1"/>
      <c r="DH239" s="1"/>
      <c r="DJ239" s="1"/>
      <c r="DL239" s="1"/>
      <c r="DN239" s="1"/>
      <c r="DP239" s="1"/>
    </row>
    <row r="240" spans="1:120">
      <c r="A240">
        <v>78056</v>
      </c>
      <c r="B240" s="1" t="s">
        <v>380</v>
      </c>
      <c r="C240" s="1" t="s">
        <v>429</v>
      </c>
      <c r="D240" s="1" t="str">
        <f>VLOOKUP( 20,Squads!A:E,5,0)</f>
        <v>SOU</v>
      </c>
      <c r="E240" s="1" t="str">
        <f>VLOOKUP( 3,$CX$2:$CY$5,2,0)</f>
        <v>MID</v>
      </c>
      <c r="F240" s="8">
        <v>2100000</v>
      </c>
      <c r="G240" s="1" t="s">
        <v>0</v>
      </c>
      <c r="H240" s="1">
        <v>2000000</v>
      </c>
      <c r="I240" s="1">
        <v>2000000</v>
      </c>
      <c r="J240" s="3">
        <v>2000000</v>
      </c>
      <c r="K240" s="3">
        <v>2100000</v>
      </c>
      <c r="L240" s="3">
        <v>7</v>
      </c>
      <c r="M240" s="3">
        <v>2</v>
      </c>
      <c r="N240" s="3">
        <v>2</v>
      </c>
      <c r="O240" s="3">
        <v>98</v>
      </c>
      <c r="P240" s="3">
        <v>78</v>
      </c>
      <c r="Q240" s="3">
        <v>4</v>
      </c>
      <c r="R240" s="3">
        <v>11</v>
      </c>
      <c r="S240" s="3">
        <v>2.8</v>
      </c>
      <c r="T240" s="3">
        <v>7</v>
      </c>
      <c r="U240" s="3">
        <v>-1</v>
      </c>
      <c r="V240" s="3">
        <v>1.3</v>
      </c>
      <c r="W240" s="3">
        <v>2</v>
      </c>
      <c r="X240" s="3">
        <v>4270</v>
      </c>
      <c r="Y240" s="3">
        <v>0.4</v>
      </c>
      <c r="Z240" s="3">
        <v>0</v>
      </c>
      <c r="CX240" s="9"/>
      <c r="DA240"/>
      <c r="DC240"/>
      <c r="DD240" s="1"/>
      <c r="DF240" s="1"/>
      <c r="DH240" s="1"/>
      <c r="DJ240" s="1"/>
      <c r="DL240" s="1"/>
      <c r="DN240" s="1"/>
      <c r="DP240" s="1"/>
    </row>
    <row r="241" spans="1:120">
      <c r="A241">
        <v>78315</v>
      </c>
      <c r="B241" s="1" t="s">
        <v>83</v>
      </c>
      <c r="C241" s="1" t="s">
        <v>430</v>
      </c>
      <c r="D241" s="1" t="str">
        <f>VLOOKUP( 11,Squads!A:E,5,0)</f>
        <v>EVE</v>
      </c>
      <c r="E241" s="1" t="str">
        <f>VLOOKUP( 1,$CX$2:$CY$5,2,0)</f>
        <v>GK</v>
      </c>
      <c r="F241" s="8">
        <v>2500000</v>
      </c>
      <c r="G241" s="1" t="s">
        <v>0</v>
      </c>
      <c r="H241" s="1">
        <v>2500000</v>
      </c>
      <c r="I241" s="1">
        <v>2500000</v>
      </c>
      <c r="J241" s="3">
        <v>2500000</v>
      </c>
      <c r="K241" s="3">
        <v>2500000</v>
      </c>
      <c r="O241" s="3">
        <v>0</v>
      </c>
      <c r="P241" s="3">
        <v>218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-0.7</v>
      </c>
      <c r="W241" s="3">
        <v>2.8</v>
      </c>
      <c r="X241" s="3">
        <v>1098</v>
      </c>
      <c r="Y241" s="3">
        <v>0.1</v>
      </c>
      <c r="Z241" s="3">
        <v>0</v>
      </c>
      <c r="CX241" s="9"/>
      <c r="DA241"/>
      <c r="DC241"/>
      <c r="DD241" s="1"/>
      <c r="DF241" s="1"/>
      <c r="DH241" s="1"/>
      <c r="DJ241" s="1"/>
      <c r="DL241" s="1"/>
      <c r="DN241" s="1"/>
      <c r="DP241" s="1"/>
    </row>
    <row r="242" spans="1:120">
      <c r="A242">
        <v>78356</v>
      </c>
      <c r="B242" s="1" t="s">
        <v>244</v>
      </c>
      <c r="C242" s="1" t="s">
        <v>261</v>
      </c>
      <c r="D242" s="1" t="str">
        <f>VLOOKUP( 20,Squads!A:E,5,0)</f>
        <v>SOU</v>
      </c>
      <c r="E242" s="1" t="str">
        <f>VLOOKUP( 4,$CX$2:$CY$5,2,0)</f>
        <v>STR</v>
      </c>
      <c r="F242" s="8">
        <v>2500000</v>
      </c>
      <c r="G242" s="1" t="s">
        <v>0</v>
      </c>
      <c r="H242" s="1">
        <v>2500000</v>
      </c>
      <c r="I242" s="1">
        <v>2500000</v>
      </c>
      <c r="J242" s="3">
        <v>2500000</v>
      </c>
      <c r="K242" s="3">
        <v>2500000</v>
      </c>
      <c r="L242" s="3">
        <v>0</v>
      </c>
      <c r="M242" s="3">
        <v>4</v>
      </c>
      <c r="O242" s="3">
        <v>0</v>
      </c>
      <c r="P242" s="3">
        <v>170</v>
      </c>
      <c r="Q242" s="3">
        <v>3</v>
      </c>
      <c r="R242" s="3">
        <v>4</v>
      </c>
      <c r="S242" s="3">
        <v>1.3</v>
      </c>
      <c r="T242" s="3">
        <v>5</v>
      </c>
      <c r="U242" s="3">
        <v>-1</v>
      </c>
      <c r="V242" s="3">
        <v>1.3</v>
      </c>
      <c r="W242" s="3">
        <v>3.4</v>
      </c>
      <c r="X242" s="3">
        <v>4454</v>
      </c>
      <c r="Y242" s="3">
        <v>0.4</v>
      </c>
      <c r="Z242" s="3">
        <v>0</v>
      </c>
      <c r="CX242" s="9"/>
      <c r="DA242"/>
      <c r="DC242"/>
      <c r="DD242" s="1"/>
      <c r="DF242" s="1"/>
      <c r="DH242" s="1"/>
      <c r="DJ242" s="1"/>
      <c r="DL242" s="1"/>
      <c r="DN242" s="1"/>
      <c r="DP242" s="1"/>
    </row>
    <row r="243" spans="1:120">
      <c r="A243">
        <v>78412</v>
      </c>
      <c r="B243" s="1" t="s">
        <v>306</v>
      </c>
      <c r="C243" s="1" t="s">
        <v>307</v>
      </c>
      <c r="D243" s="1" t="str">
        <f>VLOOKUP( 13,Squads!A:E,5,0)</f>
        <v>LEI</v>
      </c>
      <c r="E243" s="1" t="str">
        <f>VLOOKUP( 4,$CX$2:$CY$5,2,0)</f>
        <v>STR</v>
      </c>
      <c r="F243" s="8">
        <v>2800000</v>
      </c>
      <c r="G243" s="1" t="s">
        <v>0</v>
      </c>
      <c r="H243" s="1">
        <v>2500000</v>
      </c>
      <c r="I243" s="1">
        <v>2500000</v>
      </c>
      <c r="J243" s="3">
        <v>2500000</v>
      </c>
      <c r="K243" s="3">
        <v>2800000</v>
      </c>
      <c r="L243" s="3">
        <v>8</v>
      </c>
      <c r="M243" s="3">
        <v>8</v>
      </c>
      <c r="N243" s="3">
        <v>0</v>
      </c>
      <c r="O243" s="3">
        <v>108</v>
      </c>
      <c r="P243" s="3">
        <v>42</v>
      </c>
      <c r="Q243" s="3">
        <v>3</v>
      </c>
      <c r="R243" s="3">
        <v>16</v>
      </c>
      <c r="S243" s="3">
        <v>5.3</v>
      </c>
      <c r="T243" s="3">
        <v>8</v>
      </c>
      <c r="U243" s="3">
        <v>0</v>
      </c>
      <c r="V243" s="3">
        <v>5.3</v>
      </c>
      <c r="W243" s="3">
        <v>3.2</v>
      </c>
      <c r="X243" s="3">
        <v>6880</v>
      </c>
      <c r="Y243" s="3">
        <v>0.6</v>
      </c>
      <c r="Z243" s="3">
        <v>0</v>
      </c>
      <c r="CX243" s="9"/>
      <c r="DA243"/>
      <c r="DC243"/>
      <c r="DD243" s="1"/>
      <c r="DF243" s="1"/>
      <c r="DH243" s="1"/>
      <c r="DJ243" s="1"/>
      <c r="DL243" s="1"/>
      <c r="DN243" s="1"/>
      <c r="DP243" s="1"/>
    </row>
    <row r="244" spans="1:120">
      <c r="A244">
        <v>78830</v>
      </c>
      <c r="B244" s="1" t="s">
        <v>13</v>
      </c>
      <c r="C244" s="1" t="s">
        <v>14</v>
      </c>
      <c r="D244" s="1" t="str">
        <f>VLOOKUP( 6,Squads!A:E,5,0)</f>
        <v>TOT</v>
      </c>
      <c r="E244" s="1" t="str">
        <f>VLOOKUP( 4,$CX$2:$CY$5,2,0)</f>
        <v>STR</v>
      </c>
      <c r="F244" s="8">
        <v>7700000</v>
      </c>
      <c r="G244" s="1" t="s">
        <v>0</v>
      </c>
      <c r="H244" s="1">
        <v>8000000</v>
      </c>
      <c r="I244" s="1">
        <v>8000000</v>
      </c>
      <c r="J244" s="3">
        <v>8000000</v>
      </c>
      <c r="K244" s="3">
        <v>7700000</v>
      </c>
      <c r="L244" s="3">
        <v>2</v>
      </c>
      <c r="M244" s="3">
        <v>2</v>
      </c>
      <c r="N244" s="3">
        <v>3</v>
      </c>
      <c r="O244" s="3">
        <v>71</v>
      </c>
      <c r="P244" s="3">
        <v>124</v>
      </c>
      <c r="Q244" s="3">
        <v>3</v>
      </c>
      <c r="R244" s="3">
        <v>7</v>
      </c>
      <c r="S244" s="3">
        <v>2.2999999999999998</v>
      </c>
      <c r="T244" s="3">
        <v>3</v>
      </c>
      <c r="U244" s="3">
        <v>2</v>
      </c>
      <c r="V244" s="3">
        <v>2.2999999999999998</v>
      </c>
      <c r="W244" s="3">
        <v>3</v>
      </c>
      <c r="X244" s="3">
        <v>498253</v>
      </c>
      <c r="Y244" s="3">
        <v>43.7</v>
      </c>
      <c r="Z244" s="3">
        <v>0</v>
      </c>
      <c r="CX244" s="9"/>
      <c r="DA244"/>
      <c r="DC244"/>
      <c r="DD244" s="1"/>
      <c r="DF244" s="1"/>
      <c r="DH244" s="1"/>
      <c r="DJ244" s="1"/>
      <c r="DL244" s="1"/>
      <c r="DN244" s="1"/>
      <c r="DP244" s="1"/>
    </row>
    <row r="245" spans="1:120">
      <c r="A245">
        <v>79619</v>
      </c>
      <c r="B245" s="1" t="s">
        <v>247</v>
      </c>
      <c r="C245" s="1" t="s">
        <v>762</v>
      </c>
      <c r="D245" s="1" t="str">
        <f>VLOOKUP( 38,Squads!A:E,5,0)</f>
        <v>HUD</v>
      </c>
      <c r="E245" s="1" t="str">
        <f>VLOOKUP( 3,$CX$2:$CY$5,2,0)</f>
        <v>MID</v>
      </c>
      <c r="F245" s="8">
        <v>1500000</v>
      </c>
      <c r="G245" s="1" t="s">
        <v>1011</v>
      </c>
      <c r="H245" s="1">
        <v>1500000</v>
      </c>
      <c r="I245" s="1">
        <v>1500000</v>
      </c>
      <c r="J245" s="3">
        <v>1500000</v>
      </c>
      <c r="K245" s="3">
        <v>1500000</v>
      </c>
      <c r="O245" s="3">
        <v>0</v>
      </c>
      <c r="P245" s="3">
        <v>218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150</v>
      </c>
      <c r="Y245" s="3">
        <v>0</v>
      </c>
      <c r="Z245" s="3">
        <v>0</v>
      </c>
      <c r="CX245" s="9"/>
      <c r="DA245"/>
      <c r="DC245"/>
      <c r="DD245" s="1"/>
      <c r="DF245" s="1"/>
      <c r="DH245" s="1"/>
      <c r="DJ245" s="1"/>
      <c r="DL245" s="1"/>
      <c r="DN245" s="1"/>
      <c r="DP245" s="1"/>
    </row>
    <row r="246" spans="1:120">
      <c r="A246">
        <v>79934</v>
      </c>
      <c r="B246" s="1" t="s">
        <v>467</v>
      </c>
      <c r="C246" s="1" t="s">
        <v>793</v>
      </c>
      <c r="D246" s="1" t="str">
        <f>VLOOKUP( 36,Squads!A:E,5,0)</f>
        <v>BHA</v>
      </c>
      <c r="E246" s="1" t="str">
        <f>VLOOKUP( 3,$CX$2:$CY$5,2,0)</f>
        <v>MID</v>
      </c>
      <c r="F246" s="8">
        <v>1500000</v>
      </c>
      <c r="G246" s="1" t="s">
        <v>0</v>
      </c>
      <c r="H246" s="1">
        <v>1500000</v>
      </c>
      <c r="I246" s="1">
        <v>1500000</v>
      </c>
      <c r="J246" s="3">
        <v>1500000</v>
      </c>
      <c r="K246" s="3">
        <v>1500000</v>
      </c>
      <c r="O246" s="3">
        <v>0</v>
      </c>
      <c r="P246" s="3">
        <v>218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444</v>
      </c>
      <c r="Y246" s="3">
        <v>0</v>
      </c>
      <c r="Z246" s="3">
        <v>0</v>
      </c>
      <c r="CX246" s="9"/>
      <c r="DA246"/>
      <c r="DC246"/>
      <c r="DD246" s="1"/>
      <c r="DF246" s="1"/>
      <c r="DH246" s="1"/>
      <c r="DJ246" s="1"/>
      <c r="DL246" s="1"/>
      <c r="DN246" s="1"/>
      <c r="DP246" s="1"/>
    </row>
    <row r="247" spans="1:120">
      <c r="A247">
        <v>80447</v>
      </c>
      <c r="B247" s="1" t="s">
        <v>328</v>
      </c>
      <c r="C247" s="1" t="s">
        <v>329</v>
      </c>
      <c r="D247" s="1" t="str">
        <f>VLOOKUP( 20,Squads!A:E,5,0)</f>
        <v>SOU</v>
      </c>
      <c r="E247" s="1" t="str">
        <f>VLOOKUP( 2,$CX$2:$CY$5,2,0)</f>
        <v>DEF</v>
      </c>
      <c r="F247" s="8">
        <v>3500000</v>
      </c>
      <c r="G247" s="1" t="s">
        <v>0</v>
      </c>
      <c r="H247" s="1">
        <v>3500000</v>
      </c>
      <c r="I247" s="1">
        <v>3500000</v>
      </c>
      <c r="J247" s="3">
        <v>3500000</v>
      </c>
      <c r="K247" s="3">
        <v>3500000</v>
      </c>
      <c r="L247" s="3">
        <v>8</v>
      </c>
      <c r="M247" s="3">
        <v>0</v>
      </c>
      <c r="N247" s="3">
        <v>5</v>
      </c>
      <c r="O247" s="3">
        <v>48</v>
      </c>
      <c r="P247" s="3">
        <v>64</v>
      </c>
      <c r="Q247" s="3">
        <v>4</v>
      </c>
      <c r="R247" s="3">
        <v>13</v>
      </c>
      <c r="S247" s="3">
        <v>3.3</v>
      </c>
      <c r="T247" s="3">
        <v>8</v>
      </c>
      <c r="U247" s="3">
        <v>-1</v>
      </c>
      <c r="V247" s="3">
        <v>1.7</v>
      </c>
      <c r="W247" s="3">
        <v>3.2</v>
      </c>
      <c r="X247" s="3">
        <v>27308</v>
      </c>
      <c r="Y247" s="3">
        <v>2.4</v>
      </c>
      <c r="Z247" s="3">
        <v>0</v>
      </c>
      <c r="CX247" s="9"/>
      <c r="DA247"/>
      <c r="DC247"/>
      <c r="DD247" s="1"/>
      <c r="DF247" s="1"/>
      <c r="DH247" s="1"/>
      <c r="DJ247" s="1"/>
      <c r="DL247" s="1"/>
      <c r="DN247" s="1"/>
      <c r="DP247" s="1"/>
    </row>
    <row r="248" spans="1:120">
      <c r="A248">
        <v>80607</v>
      </c>
      <c r="B248" s="1" t="s">
        <v>54</v>
      </c>
      <c r="C248" s="1" t="s">
        <v>55</v>
      </c>
      <c r="D248" s="1" t="str">
        <f>VLOOKUP( 6,Squads!A:E,5,0)</f>
        <v>TOT</v>
      </c>
      <c r="E248" s="1" t="str">
        <f>VLOOKUP( 3,$CX$2:$CY$5,2,0)</f>
        <v>MID</v>
      </c>
      <c r="F248" s="8">
        <v>6300000</v>
      </c>
      <c r="G248" s="1" t="s">
        <v>0</v>
      </c>
      <c r="H248" s="1">
        <v>6500000</v>
      </c>
      <c r="I248" s="1">
        <v>6500000</v>
      </c>
      <c r="J248" s="3">
        <v>6500000</v>
      </c>
      <c r="K248" s="3">
        <v>6300000</v>
      </c>
      <c r="L248" s="3">
        <v>12</v>
      </c>
      <c r="M248" s="3">
        <v>2</v>
      </c>
      <c r="N248" s="3">
        <v>0</v>
      </c>
      <c r="O248" s="3">
        <v>108</v>
      </c>
      <c r="P248" s="3">
        <v>57</v>
      </c>
      <c r="Q248" s="3">
        <v>3</v>
      </c>
      <c r="R248" s="3">
        <v>14</v>
      </c>
      <c r="S248" s="3">
        <v>4.7</v>
      </c>
      <c r="T248" s="3">
        <v>12</v>
      </c>
      <c r="U248" s="3">
        <v>0</v>
      </c>
      <c r="V248" s="3">
        <v>4.7</v>
      </c>
      <c r="W248" s="3">
        <v>4</v>
      </c>
      <c r="X248" s="3">
        <v>185624</v>
      </c>
      <c r="Y248" s="3">
        <v>16.3</v>
      </c>
      <c r="Z248" s="3">
        <v>0</v>
      </c>
      <c r="CX248" s="9"/>
      <c r="DA248"/>
      <c r="DC248"/>
      <c r="DD248" s="1"/>
      <c r="DF248" s="1"/>
      <c r="DH248" s="1"/>
      <c r="DJ248" s="1"/>
      <c r="DL248" s="1"/>
      <c r="DN248" s="1"/>
      <c r="DP248" s="1"/>
    </row>
    <row r="249" spans="1:120">
      <c r="A249">
        <v>80801</v>
      </c>
      <c r="B249" s="1" t="s">
        <v>431</v>
      </c>
      <c r="C249" s="1" t="s">
        <v>432</v>
      </c>
      <c r="D249" s="1" t="str">
        <f>VLOOKUP( 11,Squads!A:E,5,0)</f>
        <v>EVE</v>
      </c>
      <c r="E249" s="1" t="str">
        <f>VLOOKUP( 3,$CX$2:$CY$5,2,0)</f>
        <v>MID</v>
      </c>
      <c r="F249" s="8">
        <v>2200000</v>
      </c>
      <c r="G249" s="1" t="s">
        <v>0</v>
      </c>
      <c r="H249" s="1">
        <v>2000000</v>
      </c>
      <c r="I249" s="1">
        <v>2000000</v>
      </c>
      <c r="J249" s="3">
        <v>2000000</v>
      </c>
      <c r="K249" s="3">
        <v>2200000</v>
      </c>
      <c r="L249" s="3">
        <v>16</v>
      </c>
      <c r="M249" s="3">
        <v>0</v>
      </c>
      <c r="N249" s="3">
        <v>-1</v>
      </c>
      <c r="O249" s="3">
        <v>199</v>
      </c>
      <c r="P249" s="3">
        <v>50</v>
      </c>
      <c r="Q249" s="3">
        <v>4</v>
      </c>
      <c r="R249" s="3">
        <v>15</v>
      </c>
      <c r="S249" s="3">
        <v>3.8</v>
      </c>
      <c r="T249" s="3">
        <v>13</v>
      </c>
      <c r="U249" s="3">
        <v>-1</v>
      </c>
      <c r="V249" s="3">
        <v>4</v>
      </c>
      <c r="W249" s="3">
        <v>3.6</v>
      </c>
      <c r="X249" s="3">
        <v>15663</v>
      </c>
      <c r="Y249" s="3">
        <v>1.4</v>
      </c>
      <c r="Z249" s="3">
        <v>0</v>
      </c>
      <c r="CX249" s="9"/>
      <c r="DA249"/>
      <c r="DC249"/>
      <c r="DD249" s="1"/>
      <c r="DF249" s="1"/>
      <c r="DH249" s="1"/>
      <c r="DJ249" s="1"/>
      <c r="DL249" s="1"/>
      <c r="DN249" s="1"/>
      <c r="DP249" s="1"/>
    </row>
    <row r="250" spans="1:120">
      <c r="A250">
        <v>81880</v>
      </c>
      <c r="B250" s="1" t="s">
        <v>330</v>
      </c>
      <c r="C250" s="1" t="s">
        <v>433</v>
      </c>
      <c r="D250" s="1" t="str">
        <f>VLOOKUP( 14,Squads!A:E,5,0)</f>
        <v>LIV</v>
      </c>
      <c r="E250" s="1" t="str">
        <f>VLOOKUP( 3,$CX$2:$CY$5,2,0)</f>
        <v>MID</v>
      </c>
      <c r="F250" s="8">
        <v>3500000</v>
      </c>
      <c r="G250" s="1" t="s">
        <v>0</v>
      </c>
      <c r="H250" s="1">
        <v>3500000</v>
      </c>
      <c r="I250" s="1">
        <v>3500000</v>
      </c>
      <c r="J250" s="3">
        <v>3500000</v>
      </c>
      <c r="K250" s="3">
        <v>3500000</v>
      </c>
      <c r="L250" s="3">
        <v>8</v>
      </c>
      <c r="M250" s="3">
        <v>3</v>
      </c>
      <c r="N250" s="3">
        <v>0</v>
      </c>
      <c r="O250" s="3">
        <v>108</v>
      </c>
      <c r="P250" s="3">
        <v>78</v>
      </c>
      <c r="Q250" s="3">
        <v>3</v>
      </c>
      <c r="R250" s="3">
        <v>11</v>
      </c>
      <c r="S250" s="3">
        <v>3.7</v>
      </c>
      <c r="T250" s="3">
        <v>8</v>
      </c>
      <c r="U250" s="3">
        <v>0</v>
      </c>
      <c r="V250" s="3">
        <v>3.7</v>
      </c>
      <c r="W250" s="3">
        <v>2.6</v>
      </c>
      <c r="X250" s="3">
        <v>57952</v>
      </c>
      <c r="Y250" s="3">
        <v>5.0999999999999996</v>
      </c>
      <c r="Z250" s="3">
        <v>0</v>
      </c>
      <c r="CX250" s="9"/>
      <c r="DA250"/>
      <c r="DC250"/>
      <c r="DD250" s="1"/>
      <c r="DF250" s="1"/>
      <c r="DH250" s="1"/>
      <c r="DJ250" s="1"/>
      <c r="DL250" s="1"/>
      <c r="DN250" s="1"/>
      <c r="DP250" s="1"/>
    </row>
    <row r="251" spans="1:120">
      <c r="A251">
        <v>82263</v>
      </c>
      <c r="B251" s="1" t="s">
        <v>182</v>
      </c>
      <c r="C251" s="1" t="s">
        <v>478</v>
      </c>
      <c r="D251" s="1" t="str">
        <f>VLOOKUP( 8,Squads!A:E,5,0)</f>
        <v>CHE</v>
      </c>
      <c r="E251" s="1" t="str">
        <f>VLOOKUP( 2,$CX$2:$CY$5,2,0)</f>
        <v>DEF</v>
      </c>
      <c r="F251" s="8">
        <v>5800000</v>
      </c>
      <c r="G251" s="1" t="s">
        <v>0</v>
      </c>
      <c r="H251" s="1">
        <v>5500000</v>
      </c>
      <c r="I251" s="1">
        <v>5500000</v>
      </c>
      <c r="J251" s="3">
        <v>5500000</v>
      </c>
      <c r="K251" s="3">
        <v>5800000</v>
      </c>
      <c r="L251" s="3">
        <v>0</v>
      </c>
      <c r="M251" s="3">
        <v>17</v>
      </c>
      <c r="N251" s="3">
        <v>8</v>
      </c>
      <c r="O251" s="3">
        <v>13</v>
      </c>
      <c r="P251" s="3">
        <v>8</v>
      </c>
      <c r="Q251" s="3">
        <v>3</v>
      </c>
      <c r="R251" s="3">
        <v>25</v>
      </c>
      <c r="S251" s="3">
        <v>8.3000000000000007</v>
      </c>
      <c r="T251" s="3">
        <v>17</v>
      </c>
      <c r="U251" s="3">
        <v>0</v>
      </c>
      <c r="V251" s="3">
        <v>8.3000000000000007</v>
      </c>
      <c r="W251" s="3">
        <v>7.6</v>
      </c>
      <c r="X251" s="3">
        <v>126391</v>
      </c>
      <c r="Y251" s="3">
        <v>11.1</v>
      </c>
      <c r="Z251" s="3">
        <v>0</v>
      </c>
      <c r="CX251" s="9"/>
      <c r="DA251"/>
      <c r="DC251"/>
      <c r="DD251" s="1"/>
      <c r="DF251" s="1"/>
      <c r="DH251" s="1"/>
      <c r="DJ251" s="1"/>
      <c r="DL251" s="1"/>
      <c r="DN251" s="1"/>
      <c r="DP251" s="1"/>
    </row>
    <row r="252" spans="1:120">
      <c r="A252">
        <v>82403</v>
      </c>
      <c r="B252" s="1" t="s">
        <v>214</v>
      </c>
      <c r="C252" s="1" t="s">
        <v>215</v>
      </c>
      <c r="D252" s="1" t="str">
        <f>VLOOKUP( 31,Squads!A:E,5,0)</f>
        <v>CRY</v>
      </c>
      <c r="E252" s="1" t="str">
        <f>VLOOKUP( 3,$CX$2:$CY$5,2,0)</f>
        <v>MID</v>
      </c>
      <c r="F252" s="8">
        <v>4000000</v>
      </c>
      <c r="G252" s="1" t="s">
        <v>1011</v>
      </c>
      <c r="H252" s="1">
        <v>4000000</v>
      </c>
      <c r="I252" s="1">
        <v>4000000</v>
      </c>
      <c r="J252" s="3">
        <v>4000000</v>
      </c>
      <c r="K252" s="3">
        <v>4000000</v>
      </c>
      <c r="L252" s="3">
        <v>0</v>
      </c>
      <c r="O252" s="3">
        <v>0</v>
      </c>
      <c r="P252" s="3">
        <v>218</v>
      </c>
      <c r="Q252" s="3">
        <v>1</v>
      </c>
      <c r="R252" s="3">
        <v>0</v>
      </c>
      <c r="S252" s="3">
        <v>0</v>
      </c>
      <c r="T252" s="3">
        <v>0</v>
      </c>
      <c r="U252" s="3">
        <v>0</v>
      </c>
      <c r="V252" s="3">
        <v>4.3</v>
      </c>
      <c r="W252" s="3">
        <v>3</v>
      </c>
      <c r="X252" s="3">
        <v>22690</v>
      </c>
      <c r="Y252" s="3">
        <v>2</v>
      </c>
      <c r="Z252" s="3">
        <v>0</v>
      </c>
      <c r="CX252" s="9"/>
      <c r="DA252"/>
      <c r="DC252"/>
      <c r="DD252" s="1"/>
      <c r="DF252" s="1"/>
      <c r="DH252" s="1"/>
      <c r="DJ252" s="1"/>
      <c r="DL252" s="1"/>
      <c r="DN252" s="1"/>
      <c r="DP252" s="1"/>
    </row>
    <row r="253" spans="1:120">
      <c r="A253">
        <v>83283</v>
      </c>
      <c r="B253" s="1" t="s">
        <v>183</v>
      </c>
      <c r="C253" s="1" t="s">
        <v>184</v>
      </c>
      <c r="D253" s="1" t="str">
        <f>VLOOKUP( 20,Squads!A:E,5,0)</f>
        <v>SOU</v>
      </c>
      <c r="E253" s="1" t="str">
        <f>VLOOKUP( 3,$CX$2:$CY$5,2,0)</f>
        <v>MID</v>
      </c>
      <c r="F253" s="8">
        <v>3300000</v>
      </c>
      <c r="G253" s="1" t="s">
        <v>0</v>
      </c>
      <c r="H253" s="1">
        <v>3500000</v>
      </c>
      <c r="I253" s="1">
        <v>3500000</v>
      </c>
      <c r="J253" s="3">
        <v>3500000</v>
      </c>
      <c r="K253" s="3">
        <v>3300000</v>
      </c>
      <c r="L253" s="3">
        <v>-1</v>
      </c>
      <c r="M253" s="3">
        <v>5</v>
      </c>
      <c r="N253" s="3">
        <v>0</v>
      </c>
      <c r="O253" s="3">
        <v>108</v>
      </c>
      <c r="P253" s="3">
        <v>170</v>
      </c>
      <c r="Q253" s="3">
        <v>4</v>
      </c>
      <c r="R253" s="3">
        <v>4</v>
      </c>
      <c r="S253" s="3">
        <v>1</v>
      </c>
      <c r="T253" s="3">
        <v>5</v>
      </c>
      <c r="U253" s="3">
        <v>-1</v>
      </c>
      <c r="V253" s="3">
        <v>1.7</v>
      </c>
      <c r="W253" s="3">
        <v>3.4</v>
      </c>
      <c r="X253" s="3">
        <v>19131</v>
      </c>
      <c r="Y253" s="3">
        <v>1.7</v>
      </c>
      <c r="Z253" s="3">
        <v>0</v>
      </c>
      <c r="CX253" s="9"/>
      <c r="DA253"/>
      <c r="DC253"/>
      <c r="DD253" s="1"/>
      <c r="DF253" s="1"/>
      <c r="DH253" s="1"/>
      <c r="DJ253" s="1"/>
      <c r="DL253" s="1"/>
      <c r="DN253" s="1"/>
      <c r="DP253" s="1"/>
    </row>
    <row r="254" spans="1:120">
      <c r="A254">
        <v>83299</v>
      </c>
      <c r="B254" s="1" t="s">
        <v>341</v>
      </c>
      <c r="C254" s="1" t="s">
        <v>794</v>
      </c>
      <c r="D254" s="1" t="str">
        <f>VLOOKUP( 36,Squads!A:E,5,0)</f>
        <v>BHA</v>
      </c>
      <c r="E254" s="1" t="str">
        <f>VLOOKUP( 2,$CX$2:$CY$5,2,0)</f>
        <v>DEF</v>
      </c>
      <c r="F254" s="8">
        <v>2100000</v>
      </c>
      <c r="G254" s="1" t="s">
        <v>0</v>
      </c>
      <c r="H254" s="1">
        <v>2000000</v>
      </c>
      <c r="I254" s="1">
        <v>2000000</v>
      </c>
      <c r="J254" s="3">
        <v>2000000</v>
      </c>
      <c r="K254" s="3">
        <v>2100000</v>
      </c>
      <c r="L254" s="3">
        <v>-1</v>
      </c>
      <c r="M254" s="3">
        <v>-1</v>
      </c>
      <c r="N254" s="3">
        <v>8</v>
      </c>
      <c r="O254" s="3">
        <v>13</v>
      </c>
      <c r="P254" s="3">
        <v>139</v>
      </c>
      <c r="Q254" s="3">
        <v>3</v>
      </c>
      <c r="R254" s="3">
        <v>6</v>
      </c>
      <c r="S254" s="3">
        <v>2</v>
      </c>
      <c r="T254" s="3">
        <v>8</v>
      </c>
      <c r="U254" s="3">
        <v>-1</v>
      </c>
      <c r="V254" s="3">
        <v>2</v>
      </c>
      <c r="W254" s="3">
        <v>2</v>
      </c>
      <c r="X254" s="3">
        <v>6390</v>
      </c>
      <c r="Y254" s="3">
        <v>0.6</v>
      </c>
      <c r="Z254" s="3">
        <v>0</v>
      </c>
      <c r="CX254" s="9"/>
      <c r="DA254"/>
      <c r="DC254"/>
      <c r="DD254" s="1"/>
      <c r="DF254" s="1"/>
      <c r="DH254" s="1"/>
      <c r="DJ254" s="1"/>
      <c r="DL254" s="1"/>
      <c r="DN254" s="1"/>
      <c r="DP254" s="1"/>
    </row>
    <row r="255" spans="1:120">
      <c r="A255">
        <v>83314</v>
      </c>
      <c r="B255" s="1" t="s">
        <v>479</v>
      </c>
      <c r="C255" s="1" t="s">
        <v>480</v>
      </c>
      <c r="D255" s="1" t="str">
        <f>VLOOKUP( 90,Squads!A:E,5,0)</f>
        <v>BUR</v>
      </c>
      <c r="E255" s="1" t="str">
        <f>VLOOKUP( 3,$CX$2:$CY$5,2,0)</f>
        <v>MID</v>
      </c>
      <c r="F255" s="8">
        <v>1000000</v>
      </c>
      <c r="G255" s="1" t="s">
        <v>0</v>
      </c>
      <c r="H255" s="1">
        <v>1000000</v>
      </c>
      <c r="I255" s="1">
        <v>1000000</v>
      </c>
      <c r="J255" s="3">
        <v>1000000</v>
      </c>
      <c r="K255" s="3">
        <v>1000000</v>
      </c>
      <c r="L255" s="3">
        <v>0</v>
      </c>
      <c r="M255" s="3">
        <v>0</v>
      </c>
      <c r="O255" s="3">
        <v>0</v>
      </c>
      <c r="P255" s="3">
        <v>218</v>
      </c>
      <c r="Q255" s="3">
        <v>2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1370</v>
      </c>
      <c r="Y255" s="3">
        <v>0.1</v>
      </c>
      <c r="Z255" s="3">
        <v>0</v>
      </c>
      <c r="CX255" s="9"/>
      <c r="DA255"/>
      <c r="DC255"/>
      <c r="DD255" s="1"/>
      <c r="DF255" s="1"/>
      <c r="DH255" s="1"/>
      <c r="DJ255" s="1"/>
      <c r="DL255" s="1"/>
      <c r="DN255" s="1"/>
      <c r="DP255" s="1"/>
    </row>
    <row r="256" spans="1:120">
      <c r="A256">
        <v>83543</v>
      </c>
      <c r="B256" s="1" t="s">
        <v>32</v>
      </c>
      <c r="C256" s="1" t="s">
        <v>795</v>
      </c>
      <c r="D256" s="1" t="str">
        <f>VLOOKUP( 36,Squads!A:E,5,0)</f>
        <v>BHA</v>
      </c>
      <c r="E256" s="1" t="str">
        <f>VLOOKUP( 3,$CX$2:$CY$5,2,0)</f>
        <v>MID</v>
      </c>
      <c r="F256" s="8">
        <v>2800000</v>
      </c>
      <c r="G256" s="1" t="s">
        <v>0</v>
      </c>
      <c r="H256" s="1">
        <v>3000000</v>
      </c>
      <c r="I256" s="1">
        <v>3000000</v>
      </c>
      <c r="J256" s="3">
        <v>3000000</v>
      </c>
      <c r="K256" s="3">
        <v>2800000</v>
      </c>
      <c r="L256" s="3">
        <v>0</v>
      </c>
      <c r="M256" s="3">
        <v>-1</v>
      </c>
      <c r="N256" s="3">
        <v>3</v>
      </c>
      <c r="O256" s="3">
        <v>71</v>
      </c>
      <c r="P256" s="3">
        <v>197</v>
      </c>
      <c r="Q256" s="3">
        <v>4</v>
      </c>
      <c r="R256" s="3">
        <v>2</v>
      </c>
      <c r="S256" s="3">
        <v>0.5</v>
      </c>
      <c r="T256" s="3">
        <v>3</v>
      </c>
      <c r="U256" s="3">
        <v>-1</v>
      </c>
      <c r="V256" s="3">
        <v>0.7</v>
      </c>
      <c r="W256" s="3">
        <v>0.5</v>
      </c>
      <c r="X256" s="3">
        <v>5049</v>
      </c>
      <c r="Y256" s="3">
        <v>0.4</v>
      </c>
      <c r="Z256" s="3">
        <v>0</v>
      </c>
      <c r="CX256" s="9"/>
      <c r="DA256"/>
      <c r="DC256"/>
      <c r="DD256" s="1"/>
      <c r="DF256" s="1"/>
      <c r="DH256" s="1"/>
      <c r="DJ256" s="1"/>
      <c r="DL256" s="1"/>
      <c r="DN256" s="1"/>
      <c r="DP256" s="1"/>
    </row>
    <row r="257" spans="1:120">
      <c r="A257">
        <v>84450</v>
      </c>
      <c r="B257" s="1" t="s">
        <v>78</v>
      </c>
      <c r="C257" s="1" t="s">
        <v>79</v>
      </c>
      <c r="D257" s="1" t="str">
        <f>VLOOKUP( 3,Squads!A:E,5,0)</f>
        <v>ARS</v>
      </c>
      <c r="E257" s="1" t="str">
        <f>VLOOKUP( 3,$CX$2:$CY$5,2,0)</f>
        <v>MID</v>
      </c>
      <c r="F257" s="8">
        <v>2000000</v>
      </c>
      <c r="G257" s="1" t="s">
        <v>0</v>
      </c>
      <c r="H257" s="1">
        <v>2000000</v>
      </c>
      <c r="I257" s="1">
        <v>2000000</v>
      </c>
      <c r="J257" s="3">
        <v>2000000</v>
      </c>
      <c r="K257" s="3">
        <v>2000000</v>
      </c>
      <c r="L257" s="3">
        <v>7</v>
      </c>
      <c r="M257" s="3">
        <v>0</v>
      </c>
      <c r="N257" s="3">
        <v>-1</v>
      </c>
      <c r="O257" s="3">
        <v>199</v>
      </c>
      <c r="P257" s="3">
        <v>139</v>
      </c>
      <c r="Q257" s="3">
        <v>3</v>
      </c>
      <c r="R257" s="3">
        <v>6</v>
      </c>
      <c r="S257" s="3">
        <v>2</v>
      </c>
      <c r="T257" s="3">
        <v>7</v>
      </c>
      <c r="U257" s="3">
        <v>-1</v>
      </c>
      <c r="V257" s="3">
        <v>2</v>
      </c>
      <c r="W257" s="3">
        <v>1.6</v>
      </c>
      <c r="X257" s="3">
        <v>27433</v>
      </c>
      <c r="Y257" s="3">
        <v>2.4</v>
      </c>
      <c r="Z257" s="3">
        <v>0</v>
      </c>
      <c r="CX257" s="9"/>
      <c r="DA257"/>
      <c r="DC257"/>
      <c r="DD257" s="1"/>
      <c r="DF257" s="1"/>
      <c r="DH257" s="1"/>
      <c r="DJ257" s="1"/>
      <c r="DL257" s="1"/>
      <c r="DN257" s="1"/>
      <c r="DP257" s="1"/>
    </row>
    <row r="258" spans="1:120">
      <c r="A258">
        <v>84583</v>
      </c>
      <c r="B258" s="1" t="s">
        <v>28</v>
      </c>
      <c r="C258" s="1" t="s">
        <v>29</v>
      </c>
      <c r="D258" s="1" t="str">
        <f>VLOOKUP( 14,Squads!A:E,5,0)</f>
        <v>LIV</v>
      </c>
      <c r="E258" s="1" t="str">
        <f>VLOOKUP( 3,$CX$2:$CY$5,2,0)</f>
        <v>MID</v>
      </c>
      <c r="F258" s="8">
        <v>6000000</v>
      </c>
      <c r="G258" s="1" t="s">
        <v>1011</v>
      </c>
      <c r="H258" s="1">
        <v>6000000</v>
      </c>
      <c r="I258" s="1">
        <v>6000000</v>
      </c>
      <c r="J258" s="3">
        <v>6000000</v>
      </c>
      <c r="K258" s="3">
        <v>6000000</v>
      </c>
      <c r="O258" s="3">
        <v>0</v>
      </c>
      <c r="P258" s="3">
        <v>218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8.6999999999999993</v>
      </c>
      <c r="W258" s="3">
        <v>5.8</v>
      </c>
      <c r="X258" s="3">
        <v>38165</v>
      </c>
      <c r="Y258" s="3">
        <v>3.3</v>
      </c>
      <c r="Z258" s="3">
        <v>0</v>
      </c>
      <c r="CX258" s="9"/>
      <c r="DA258"/>
      <c r="DC258"/>
      <c r="DD258" s="1"/>
      <c r="DF258" s="1"/>
      <c r="DH258" s="1"/>
      <c r="DJ258" s="1"/>
      <c r="DL258" s="1"/>
      <c r="DN258" s="1"/>
      <c r="DP258" s="1"/>
    </row>
    <row r="259" spans="1:120">
      <c r="A259">
        <v>85352</v>
      </c>
      <c r="B259" s="1" t="s">
        <v>481</v>
      </c>
      <c r="C259" s="1" t="s">
        <v>482</v>
      </c>
      <c r="D259" s="1" t="str">
        <f>VLOOKUP( 110,Squads!A:E,5,0)</f>
        <v>STK</v>
      </c>
      <c r="E259" s="1" t="str">
        <f>VLOOKUP( 2,$CX$2:$CY$5,2,0)</f>
        <v>DEF</v>
      </c>
      <c r="F259" s="8">
        <v>2600000</v>
      </c>
      <c r="G259" s="1" t="s">
        <v>0</v>
      </c>
      <c r="H259" s="1">
        <v>2500000</v>
      </c>
      <c r="I259" s="1">
        <v>2500000</v>
      </c>
      <c r="J259" s="3">
        <v>2500000</v>
      </c>
      <c r="K259" s="3">
        <v>2600000</v>
      </c>
      <c r="M259" s="3">
        <v>10</v>
      </c>
      <c r="N259" s="3">
        <v>0</v>
      </c>
      <c r="O259" s="3">
        <v>108</v>
      </c>
      <c r="P259" s="3">
        <v>87</v>
      </c>
      <c r="Q259" s="3">
        <v>3</v>
      </c>
      <c r="R259" s="3">
        <v>10</v>
      </c>
      <c r="S259" s="3">
        <v>3.3</v>
      </c>
      <c r="T259" s="3">
        <v>5</v>
      </c>
      <c r="U259" s="3">
        <v>0</v>
      </c>
      <c r="V259" s="3">
        <v>3.3</v>
      </c>
      <c r="W259" s="3">
        <v>2</v>
      </c>
      <c r="X259" s="3">
        <v>9139</v>
      </c>
      <c r="Y259" s="3">
        <v>0.8</v>
      </c>
      <c r="Z259" s="3">
        <v>0</v>
      </c>
      <c r="CX259" s="9"/>
      <c r="DA259"/>
      <c r="DC259"/>
      <c r="DD259" s="1"/>
      <c r="DF259" s="1"/>
      <c r="DH259" s="1"/>
      <c r="DJ259" s="1"/>
      <c r="DL259" s="1"/>
      <c r="DN259" s="1"/>
      <c r="DP259" s="1"/>
    </row>
    <row r="260" spans="1:120">
      <c r="A260">
        <v>85368</v>
      </c>
      <c r="B260" s="1" t="s">
        <v>796</v>
      </c>
      <c r="C260" s="1" t="s">
        <v>797</v>
      </c>
      <c r="D260" s="1" t="str">
        <f>VLOOKUP( 38,Squads!A:E,5,0)</f>
        <v>HUD</v>
      </c>
      <c r="E260" s="1" t="str">
        <f>VLOOKUP( 2,$CX$2:$CY$5,2,0)</f>
        <v>DEF</v>
      </c>
      <c r="F260" s="8">
        <v>2300000</v>
      </c>
      <c r="G260" s="1" t="s">
        <v>0</v>
      </c>
      <c r="H260" s="1">
        <v>2000000</v>
      </c>
      <c r="I260" s="1">
        <v>2000000</v>
      </c>
      <c r="J260" s="3">
        <v>2000000</v>
      </c>
      <c r="K260" s="3">
        <v>2300000</v>
      </c>
      <c r="L260" s="3">
        <v>8</v>
      </c>
      <c r="M260" s="3">
        <v>13</v>
      </c>
      <c r="N260" s="3">
        <v>13</v>
      </c>
      <c r="O260" s="3">
        <v>2</v>
      </c>
      <c r="P260" s="3">
        <v>2</v>
      </c>
      <c r="Q260" s="3">
        <v>4</v>
      </c>
      <c r="R260" s="3">
        <v>34</v>
      </c>
      <c r="S260" s="3">
        <v>8.5</v>
      </c>
      <c r="T260" s="3">
        <v>13</v>
      </c>
      <c r="U260" s="3">
        <v>0</v>
      </c>
      <c r="V260" s="3">
        <v>8.6999999999999993</v>
      </c>
      <c r="W260" s="3">
        <v>8.5</v>
      </c>
      <c r="X260" s="3">
        <v>13279</v>
      </c>
      <c r="Y260" s="3">
        <v>1.2</v>
      </c>
      <c r="Z260" s="3">
        <v>0</v>
      </c>
      <c r="CX260" s="9"/>
      <c r="DA260"/>
      <c r="DC260"/>
      <c r="DD260" s="1"/>
      <c r="DF260" s="1"/>
      <c r="DH260" s="1"/>
      <c r="DJ260" s="1"/>
      <c r="DL260" s="1"/>
      <c r="DN260" s="1"/>
      <c r="DP260" s="1"/>
    </row>
    <row r="261" spans="1:120">
      <c r="A261">
        <v>85971</v>
      </c>
      <c r="B261" s="1" t="s">
        <v>279</v>
      </c>
      <c r="C261" s="1" t="s">
        <v>280</v>
      </c>
      <c r="D261" s="1" t="str">
        <f>VLOOKUP( 6,Squads!A:E,5,0)</f>
        <v>TOT</v>
      </c>
      <c r="E261" s="1" t="str">
        <f>VLOOKUP( 4,$CX$2:$CY$5,2,0)</f>
        <v>STR</v>
      </c>
      <c r="F261" s="8">
        <v>5200000</v>
      </c>
      <c r="G261" s="1" t="s">
        <v>0</v>
      </c>
      <c r="H261" s="1">
        <v>5500000</v>
      </c>
      <c r="I261" s="1">
        <v>5500000</v>
      </c>
      <c r="J261" s="3">
        <v>5500000</v>
      </c>
      <c r="K261" s="3">
        <v>5200000</v>
      </c>
      <c r="L261" s="3">
        <v>0</v>
      </c>
      <c r="M261" s="3">
        <v>0</v>
      </c>
      <c r="N261" s="3">
        <v>0</v>
      </c>
      <c r="O261" s="3">
        <v>108</v>
      </c>
      <c r="P261" s="3">
        <v>218</v>
      </c>
      <c r="Q261" s="3">
        <v>3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5.2</v>
      </c>
      <c r="X261" s="3">
        <v>17272</v>
      </c>
      <c r="Y261" s="3">
        <v>1.5</v>
      </c>
      <c r="Z261" s="3">
        <v>0</v>
      </c>
      <c r="CX261" s="9"/>
      <c r="DA261"/>
      <c r="DC261"/>
      <c r="DD261" s="1"/>
      <c r="DF261" s="1"/>
      <c r="DH261" s="1"/>
      <c r="DJ261" s="1"/>
      <c r="DL261" s="1"/>
      <c r="DN261" s="1"/>
      <c r="DP261" s="1"/>
    </row>
    <row r="262" spans="1:120">
      <c r="A262">
        <v>86176</v>
      </c>
      <c r="B262" s="1" t="s">
        <v>253</v>
      </c>
      <c r="C262" s="1" t="s">
        <v>959</v>
      </c>
      <c r="D262" s="1" t="str">
        <f>VLOOKUP( 38,Squads!A:E,5,0)</f>
        <v>HUD</v>
      </c>
      <c r="E262" s="1" t="str">
        <f>VLOOKUP( 3,$CX$2:$CY$5,2,0)</f>
        <v>MID</v>
      </c>
      <c r="F262" s="8">
        <v>2000000</v>
      </c>
      <c r="G262" s="1" t="s">
        <v>0</v>
      </c>
      <c r="H262" s="1">
        <v>2000000</v>
      </c>
      <c r="I262" s="1">
        <v>2000000</v>
      </c>
      <c r="J262" s="3">
        <v>2000000</v>
      </c>
      <c r="K262" s="3">
        <v>2000000</v>
      </c>
      <c r="L262" s="3">
        <v>3</v>
      </c>
      <c r="M262" s="3">
        <v>0</v>
      </c>
      <c r="N262" s="3">
        <v>3</v>
      </c>
      <c r="O262" s="3">
        <v>71</v>
      </c>
      <c r="P262" s="3">
        <v>139</v>
      </c>
      <c r="Q262" s="3">
        <v>4</v>
      </c>
      <c r="R262" s="3">
        <v>6</v>
      </c>
      <c r="S262" s="3">
        <v>1.5</v>
      </c>
      <c r="T262" s="3">
        <v>3</v>
      </c>
      <c r="U262" s="3">
        <v>0</v>
      </c>
      <c r="V262" s="3">
        <v>1</v>
      </c>
      <c r="W262" s="3">
        <v>1.2</v>
      </c>
      <c r="X262" s="3">
        <v>7582</v>
      </c>
      <c r="Y262" s="3">
        <v>0.7</v>
      </c>
      <c r="Z262" s="3">
        <v>0</v>
      </c>
      <c r="CX262" s="9"/>
      <c r="DA262"/>
      <c r="DC262"/>
      <c r="DD262" s="1"/>
      <c r="DF262" s="1"/>
      <c r="DH262" s="1"/>
      <c r="DJ262" s="1"/>
      <c r="DL262" s="1"/>
      <c r="DN262" s="1"/>
      <c r="DP262" s="1"/>
    </row>
    <row r="263" spans="1:120">
      <c r="A263">
        <v>86417</v>
      </c>
      <c r="B263" s="1" t="s">
        <v>434</v>
      </c>
      <c r="C263" s="1" t="s">
        <v>131</v>
      </c>
      <c r="D263" s="1" t="str">
        <f>VLOOKUP( 31,Squads!A:E,5,0)</f>
        <v>CRY</v>
      </c>
      <c r="E263" s="1" t="str">
        <f>VLOOKUP( 2,$CX$2:$CY$5,2,0)</f>
        <v>DEF</v>
      </c>
      <c r="F263" s="8">
        <v>2500000</v>
      </c>
      <c r="G263" s="1" t="s">
        <v>0</v>
      </c>
      <c r="H263" s="1">
        <v>2500000</v>
      </c>
      <c r="I263" s="1">
        <v>2500000</v>
      </c>
      <c r="J263" s="3">
        <v>2500000</v>
      </c>
      <c r="K263" s="3">
        <v>2500000</v>
      </c>
      <c r="M263" s="3">
        <v>2</v>
      </c>
      <c r="O263" s="3">
        <v>0</v>
      </c>
      <c r="P263" s="3">
        <v>197</v>
      </c>
      <c r="Q263" s="3">
        <v>2</v>
      </c>
      <c r="R263" s="3">
        <v>2</v>
      </c>
      <c r="S263" s="3">
        <v>1</v>
      </c>
      <c r="T263" s="3">
        <v>2</v>
      </c>
      <c r="U263" s="3">
        <v>0</v>
      </c>
      <c r="V263" s="3">
        <v>0.3</v>
      </c>
      <c r="W263" s="3">
        <v>-0.6</v>
      </c>
      <c r="X263" s="3">
        <v>2861</v>
      </c>
      <c r="Y263" s="3">
        <v>0.3</v>
      </c>
      <c r="Z263" s="3">
        <v>0</v>
      </c>
      <c r="CX263" s="9"/>
      <c r="DA263"/>
      <c r="DC263"/>
      <c r="DD263" s="1"/>
      <c r="DF263" s="1"/>
      <c r="DH263" s="1"/>
      <c r="DJ263" s="1"/>
      <c r="DL263" s="1"/>
      <c r="DN263" s="1"/>
      <c r="DP263" s="1"/>
    </row>
    <row r="264" spans="1:120">
      <c r="A264">
        <v>86934</v>
      </c>
      <c r="B264" s="1" t="s">
        <v>222</v>
      </c>
      <c r="C264" s="1" t="s">
        <v>223</v>
      </c>
      <c r="D264" s="1" t="str">
        <f>VLOOKUP( 21,Squads!A:E,5,0)</f>
        <v>WHU</v>
      </c>
      <c r="E264" s="1" t="str">
        <f>VLOOKUP( 3,$CX$2:$CY$5,2,0)</f>
        <v>MID</v>
      </c>
      <c r="F264" s="8">
        <v>3400000</v>
      </c>
      <c r="G264" s="1" t="s">
        <v>0</v>
      </c>
      <c r="H264" s="1">
        <v>3500000</v>
      </c>
      <c r="I264" s="1">
        <v>3500000</v>
      </c>
      <c r="J264" s="3">
        <v>3500000</v>
      </c>
      <c r="K264" s="3">
        <v>3400000</v>
      </c>
      <c r="N264" s="3">
        <v>0</v>
      </c>
      <c r="O264" s="3">
        <v>108</v>
      </c>
      <c r="P264" s="3">
        <v>218</v>
      </c>
      <c r="Q264" s="3">
        <v>1</v>
      </c>
      <c r="R264" s="3">
        <v>0</v>
      </c>
      <c r="S264" s="3">
        <v>0</v>
      </c>
      <c r="T264" s="3">
        <v>0</v>
      </c>
      <c r="U264" s="3">
        <v>0</v>
      </c>
      <c r="V264" s="3">
        <v>1</v>
      </c>
      <c r="W264" s="3">
        <v>5.8</v>
      </c>
      <c r="X264" s="3">
        <v>8892</v>
      </c>
      <c r="Y264" s="3">
        <v>0.8</v>
      </c>
      <c r="Z264" s="3">
        <v>0</v>
      </c>
      <c r="CX264" s="9"/>
      <c r="DA264"/>
      <c r="DC264"/>
      <c r="DD264" s="1"/>
      <c r="DF264" s="1"/>
      <c r="DH264" s="1"/>
      <c r="DJ264" s="1"/>
      <c r="DL264" s="1"/>
      <c r="DN264" s="1"/>
      <c r="DP264" s="1"/>
    </row>
    <row r="265" spans="1:120">
      <c r="A265">
        <v>87428</v>
      </c>
      <c r="B265" s="1" t="s">
        <v>760</v>
      </c>
      <c r="C265" s="1" t="s">
        <v>761</v>
      </c>
      <c r="D265" s="1" t="str">
        <f>VLOOKUP( 38,Squads!A:E,5,0)</f>
        <v>HUD</v>
      </c>
      <c r="E265" s="1" t="str">
        <f>VLOOKUP( 4,$CX$2:$CY$5,2,0)</f>
        <v>STR</v>
      </c>
      <c r="F265" s="8">
        <v>1500000</v>
      </c>
      <c r="G265" s="1" t="s">
        <v>0</v>
      </c>
      <c r="H265" s="1">
        <v>1500000</v>
      </c>
      <c r="I265" s="1">
        <v>1500000</v>
      </c>
      <c r="J265" s="3">
        <v>1500000</v>
      </c>
      <c r="K265" s="3">
        <v>1500000</v>
      </c>
      <c r="L265" s="3">
        <v>0</v>
      </c>
      <c r="M265" s="3">
        <v>5</v>
      </c>
      <c r="N265" s="3">
        <v>0</v>
      </c>
      <c r="O265" s="3">
        <v>108</v>
      </c>
      <c r="P265" s="3">
        <v>155</v>
      </c>
      <c r="Q265" s="3">
        <v>4</v>
      </c>
      <c r="R265" s="3">
        <v>5</v>
      </c>
      <c r="S265" s="3">
        <v>1.3</v>
      </c>
      <c r="T265" s="3">
        <v>5</v>
      </c>
      <c r="U265" s="3">
        <v>0</v>
      </c>
      <c r="V265" s="3">
        <v>1.7</v>
      </c>
      <c r="W265" s="3">
        <v>1</v>
      </c>
      <c r="X265" s="3">
        <v>1209</v>
      </c>
      <c r="Y265" s="3">
        <v>0.1</v>
      </c>
      <c r="Z265" s="3">
        <v>0</v>
      </c>
      <c r="CX265" s="9"/>
      <c r="DA265"/>
      <c r="DC265"/>
      <c r="DD265" s="1"/>
      <c r="DF265" s="1"/>
      <c r="DH265" s="1"/>
      <c r="DJ265" s="1"/>
      <c r="DL265" s="1"/>
      <c r="DN265" s="1"/>
      <c r="DP265" s="1"/>
    </row>
    <row r="266" spans="1:120">
      <c r="A266">
        <v>87856</v>
      </c>
      <c r="B266" s="1" t="s">
        <v>238</v>
      </c>
      <c r="C266" s="1" t="s">
        <v>798</v>
      </c>
      <c r="D266" s="1" t="str">
        <f>VLOOKUP( 38,Squads!A:E,5,0)</f>
        <v>HUD</v>
      </c>
      <c r="E266" s="1" t="str">
        <f>VLOOKUP( 2,$CX$2:$CY$5,2,0)</f>
        <v>DEF</v>
      </c>
      <c r="F266" s="8">
        <v>1500000</v>
      </c>
      <c r="G266" s="1" t="s">
        <v>0</v>
      </c>
      <c r="H266" s="1">
        <v>1500000</v>
      </c>
      <c r="I266" s="1">
        <v>1500000</v>
      </c>
      <c r="J266" s="3">
        <v>1500000</v>
      </c>
      <c r="K266" s="3">
        <v>1500000</v>
      </c>
      <c r="M266" s="3">
        <v>4</v>
      </c>
      <c r="O266" s="3">
        <v>0</v>
      </c>
      <c r="P266" s="3">
        <v>170</v>
      </c>
      <c r="Q266" s="3">
        <v>2</v>
      </c>
      <c r="R266" s="3">
        <v>4</v>
      </c>
      <c r="S266" s="3">
        <v>2</v>
      </c>
      <c r="T266" s="3">
        <v>5</v>
      </c>
      <c r="U266" s="3">
        <v>-1</v>
      </c>
      <c r="V266" s="3">
        <v>2</v>
      </c>
      <c r="W266" s="3">
        <v>2</v>
      </c>
      <c r="X266" s="3">
        <v>2725</v>
      </c>
      <c r="Y266" s="3">
        <v>0.2</v>
      </c>
      <c r="Z266" s="3">
        <v>0</v>
      </c>
      <c r="CX266" s="9"/>
      <c r="DA266"/>
      <c r="DC266"/>
      <c r="DD266" s="1"/>
      <c r="DF266" s="1"/>
      <c r="DH266" s="1"/>
      <c r="DJ266" s="1"/>
      <c r="DL266" s="1"/>
      <c r="DN266" s="1"/>
      <c r="DP266" s="1"/>
    </row>
    <row r="267" spans="1:120">
      <c r="A267">
        <v>88482</v>
      </c>
      <c r="B267" s="1" t="s">
        <v>987</v>
      </c>
      <c r="C267" s="1" t="s">
        <v>988</v>
      </c>
      <c r="D267" s="1" t="str">
        <f>VLOOKUP( 8,Squads!A:E,5,0)</f>
        <v>CHE</v>
      </c>
      <c r="E267" s="1" t="str">
        <f>VLOOKUP( 4,$CX$2:$CY$5,2,0)</f>
        <v>STR</v>
      </c>
      <c r="F267" s="8">
        <v>5300000</v>
      </c>
      <c r="G267" s="1" t="s">
        <v>0</v>
      </c>
      <c r="H267" s="1">
        <v>5000000</v>
      </c>
      <c r="I267" s="1">
        <v>5000000</v>
      </c>
      <c r="J267" s="3">
        <v>5000000</v>
      </c>
      <c r="K267" s="3">
        <v>5300000</v>
      </c>
      <c r="L267" s="3">
        <v>10</v>
      </c>
      <c r="M267" s="3">
        <v>0</v>
      </c>
      <c r="N267" s="3">
        <v>10</v>
      </c>
      <c r="O267" s="3">
        <v>6</v>
      </c>
      <c r="P267" s="3">
        <v>26</v>
      </c>
      <c r="Q267" s="3">
        <v>3</v>
      </c>
      <c r="R267" s="3">
        <v>20</v>
      </c>
      <c r="S267" s="3">
        <v>6.7</v>
      </c>
      <c r="T267" s="3">
        <v>10</v>
      </c>
      <c r="U267" s="3">
        <v>0</v>
      </c>
      <c r="V267" s="3">
        <v>6.7</v>
      </c>
      <c r="W267" s="3">
        <v>6.7</v>
      </c>
      <c r="X267" s="3">
        <v>128540</v>
      </c>
      <c r="Y267" s="3">
        <v>11.3</v>
      </c>
      <c r="Z267" s="3">
        <v>0</v>
      </c>
      <c r="CX267" s="9"/>
      <c r="DA267"/>
      <c r="DC267"/>
      <c r="DD267" s="1"/>
      <c r="DF267" s="1"/>
      <c r="DH267" s="1"/>
      <c r="DJ267" s="1"/>
      <c r="DL267" s="1"/>
      <c r="DN267" s="1"/>
      <c r="DP267" s="1"/>
    </row>
    <row r="268" spans="1:120">
      <c r="A268">
        <v>88498</v>
      </c>
      <c r="B268" s="1" t="s">
        <v>313</v>
      </c>
      <c r="C268" s="1" t="s">
        <v>314</v>
      </c>
      <c r="D268" s="1" t="str">
        <f>VLOOKUP( 91,Squads!A:E,5,0)</f>
        <v>BOU</v>
      </c>
      <c r="E268" s="1" t="str">
        <f>VLOOKUP( 4,$CX$2:$CY$5,2,0)</f>
        <v>STR</v>
      </c>
      <c r="F268" s="8">
        <v>1800000</v>
      </c>
      <c r="G268" s="1" t="s">
        <v>0</v>
      </c>
      <c r="H268" s="1">
        <v>2000000</v>
      </c>
      <c r="I268" s="1">
        <v>2000000</v>
      </c>
      <c r="J268" s="3">
        <v>2000000</v>
      </c>
      <c r="K268" s="3">
        <v>1800000</v>
      </c>
      <c r="L268" s="3">
        <v>0</v>
      </c>
      <c r="M268" s="3">
        <v>0</v>
      </c>
      <c r="N268" s="3">
        <v>0</v>
      </c>
      <c r="O268" s="3">
        <v>108</v>
      </c>
      <c r="P268" s="3">
        <v>218</v>
      </c>
      <c r="Q268" s="3">
        <v>4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891</v>
      </c>
      <c r="Y268" s="3">
        <v>0.1</v>
      </c>
      <c r="Z268" s="3">
        <v>0</v>
      </c>
      <c r="CX268" s="9"/>
      <c r="DA268"/>
      <c r="DC268"/>
      <c r="DD268" s="1"/>
      <c r="DF268" s="1"/>
      <c r="DH268" s="1"/>
      <c r="DJ268" s="1"/>
      <c r="DL268" s="1"/>
      <c r="DN268" s="1"/>
      <c r="DP268" s="1"/>
    </row>
    <row r="269" spans="1:120">
      <c r="A269">
        <v>88894</v>
      </c>
      <c r="B269" s="1" t="s">
        <v>56</v>
      </c>
      <c r="C269" s="1" t="s">
        <v>57</v>
      </c>
      <c r="D269" s="1" t="str">
        <f>VLOOKUP( 11,Squads!A:E,5,0)</f>
        <v>EVE</v>
      </c>
      <c r="E269" s="1" t="str">
        <f>VLOOKUP( 3,$CX$2:$CY$5,2,0)</f>
        <v>MID</v>
      </c>
      <c r="F269" s="8">
        <v>4000000</v>
      </c>
      <c r="G269" s="1" t="s">
        <v>1011</v>
      </c>
      <c r="H269" s="1">
        <v>4000000</v>
      </c>
      <c r="I269" s="1">
        <v>4000000</v>
      </c>
      <c r="J269" s="3">
        <v>4000000</v>
      </c>
      <c r="K269" s="3">
        <v>4000000</v>
      </c>
      <c r="O269" s="3">
        <v>0</v>
      </c>
      <c r="P269" s="3">
        <v>218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0.7</v>
      </c>
      <c r="W269" s="3">
        <v>3.4</v>
      </c>
      <c r="X269" s="3">
        <v>3957</v>
      </c>
      <c r="Y269" s="3">
        <v>0.3</v>
      </c>
      <c r="Z269" s="3">
        <v>0</v>
      </c>
      <c r="CX269" s="9"/>
      <c r="DA269"/>
      <c r="DC269"/>
      <c r="DD269" s="1"/>
      <c r="DF269" s="1"/>
      <c r="DH269" s="1"/>
      <c r="DJ269" s="1"/>
      <c r="DL269" s="1"/>
      <c r="DN269" s="1"/>
      <c r="DP269" s="1"/>
    </row>
    <row r="270" spans="1:120">
      <c r="A270">
        <v>88900</v>
      </c>
      <c r="B270" s="1" t="s">
        <v>74</v>
      </c>
      <c r="C270" s="1" t="s">
        <v>745</v>
      </c>
      <c r="D270" s="1" t="str">
        <f>VLOOKUP( 20,Squads!A:E,5,0)</f>
        <v>SOU</v>
      </c>
      <c r="E270" s="1" t="str">
        <f>VLOOKUP( 2,$CX$2:$CY$5,2,0)</f>
        <v>DEF</v>
      </c>
      <c r="F270" s="8">
        <v>2200000</v>
      </c>
      <c r="G270" s="1" t="s">
        <v>0</v>
      </c>
      <c r="H270" s="1">
        <v>2000000</v>
      </c>
      <c r="I270" s="1">
        <v>2000000</v>
      </c>
      <c r="J270" s="3">
        <v>2000000</v>
      </c>
      <c r="K270" s="3">
        <v>2200000</v>
      </c>
      <c r="L270" s="3">
        <v>5</v>
      </c>
      <c r="M270" s="3">
        <v>-2</v>
      </c>
      <c r="N270" s="3">
        <v>8</v>
      </c>
      <c r="O270" s="3">
        <v>13</v>
      </c>
      <c r="P270" s="3">
        <v>78</v>
      </c>
      <c r="Q270" s="3">
        <v>4</v>
      </c>
      <c r="R270" s="3">
        <v>11</v>
      </c>
      <c r="S270" s="3">
        <v>2.8</v>
      </c>
      <c r="T270" s="3">
        <v>8</v>
      </c>
      <c r="U270" s="3">
        <v>-1</v>
      </c>
      <c r="V270" s="3">
        <v>2</v>
      </c>
      <c r="W270" s="3">
        <v>3.2</v>
      </c>
      <c r="X270" s="3">
        <v>9024</v>
      </c>
      <c r="Y270" s="3">
        <v>0.8</v>
      </c>
      <c r="Z270" s="3">
        <v>0</v>
      </c>
      <c r="CX270" s="9"/>
      <c r="DA270"/>
      <c r="DC270"/>
      <c r="DD270" s="1"/>
      <c r="DF270" s="1"/>
      <c r="DH270" s="1"/>
      <c r="DJ270" s="1"/>
      <c r="DL270" s="1"/>
      <c r="DN270" s="1"/>
      <c r="DP270" s="1"/>
    </row>
    <row r="271" spans="1:120">
      <c r="A271">
        <v>90105</v>
      </c>
      <c r="B271" s="1" t="s">
        <v>85</v>
      </c>
      <c r="C271" s="1" t="s">
        <v>52</v>
      </c>
      <c r="D271" s="1" t="str">
        <f>VLOOKUP( 91,Squads!A:E,5,0)</f>
        <v>BOU</v>
      </c>
      <c r="E271" s="1" t="str">
        <f>VLOOKUP( 3,$CX$2:$CY$5,2,0)</f>
        <v>MID</v>
      </c>
      <c r="F271" s="8">
        <v>2500000</v>
      </c>
      <c r="G271" s="1" t="s">
        <v>0</v>
      </c>
      <c r="H271" s="1">
        <v>2500000</v>
      </c>
      <c r="I271" s="1">
        <v>2500000</v>
      </c>
      <c r="J271" s="3">
        <v>2500000</v>
      </c>
      <c r="K271" s="3">
        <v>2500000</v>
      </c>
      <c r="L271" s="3">
        <v>0</v>
      </c>
      <c r="M271" s="3">
        <v>13</v>
      </c>
      <c r="O271" s="3">
        <v>0</v>
      </c>
      <c r="P271" s="3">
        <v>64</v>
      </c>
      <c r="Q271" s="3">
        <v>3</v>
      </c>
      <c r="R271" s="3">
        <v>13</v>
      </c>
      <c r="S271" s="3">
        <v>4.3</v>
      </c>
      <c r="T271" s="3">
        <v>13</v>
      </c>
      <c r="U271" s="3">
        <v>0</v>
      </c>
      <c r="V271" s="3">
        <v>4.3</v>
      </c>
      <c r="W271" s="3">
        <v>2.6</v>
      </c>
      <c r="X271" s="3">
        <v>1112</v>
      </c>
      <c r="Y271" s="3">
        <v>0.1</v>
      </c>
      <c r="Z271" s="3">
        <v>0</v>
      </c>
      <c r="CX271" s="9"/>
      <c r="DA271"/>
      <c r="DC271"/>
      <c r="DD271" s="1"/>
      <c r="DF271" s="1"/>
      <c r="DH271" s="1"/>
      <c r="DJ271" s="1"/>
      <c r="DL271" s="1"/>
      <c r="DN271" s="1"/>
      <c r="DP271" s="1"/>
    </row>
    <row r="272" spans="1:120">
      <c r="A272">
        <v>90517</v>
      </c>
      <c r="B272" s="1" t="s">
        <v>595</v>
      </c>
      <c r="C272" s="1" t="s">
        <v>596</v>
      </c>
      <c r="D272" s="1" t="str">
        <f>VLOOKUP( 90,Squads!A:E,5,0)</f>
        <v>BUR</v>
      </c>
      <c r="E272" s="1" t="str">
        <f>VLOOKUP( 3,$CX$2:$CY$5,2,0)</f>
        <v>MID</v>
      </c>
      <c r="F272" s="8">
        <v>2800000</v>
      </c>
      <c r="G272" s="1" t="s">
        <v>0</v>
      </c>
      <c r="H272" s="1">
        <v>2500000</v>
      </c>
      <c r="I272" s="1">
        <v>2500000</v>
      </c>
      <c r="J272" s="3">
        <v>2500000</v>
      </c>
      <c r="K272" s="3">
        <v>2800000</v>
      </c>
      <c r="L272" s="3">
        <v>2</v>
      </c>
      <c r="M272" s="3">
        <v>15</v>
      </c>
      <c r="N272" s="3">
        <v>10</v>
      </c>
      <c r="O272" s="3">
        <v>6</v>
      </c>
      <c r="P272" s="3">
        <v>7</v>
      </c>
      <c r="Q272" s="3">
        <v>4</v>
      </c>
      <c r="R272" s="3">
        <v>27</v>
      </c>
      <c r="S272" s="3">
        <v>6.8</v>
      </c>
      <c r="T272" s="3">
        <v>15</v>
      </c>
      <c r="U272" s="3">
        <v>0</v>
      </c>
      <c r="V272" s="3">
        <v>8.3000000000000007</v>
      </c>
      <c r="W272" s="3">
        <v>6</v>
      </c>
      <c r="X272" s="3">
        <v>2205</v>
      </c>
      <c r="Y272" s="3">
        <v>0.2</v>
      </c>
      <c r="Z272" s="3">
        <v>0</v>
      </c>
      <c r="CX272" s="9"/>
      <c r="DA272"/>
      <c r="DC272"/>
      <c r="DD272" s="1"/>
      <c r="DF272" s="1"/>
      <c r="DH272" s="1"/>
      <c r="DJ272" s="1"/>
      <c r="DL272" s="1"/>
      <c r="DN272" s="1"/>
      <c r="DP272" s="1"/>
    </row>
    <row r="273" spans="1:120">
      <c r="A273">
        <v>90714</v>
      </c>
      <c r="B273" s="1" t="s">
        <v>321</v>
      </c>
      <c r="C273" s="1" t="s">
        <v>208</v>
      </c>
      <c r="D273" s="1" t="str">
        <f>VLOOKUP( 13,Squads!A:E,5,0)</f>
        <v>LEI</v>
      </c>
      <c r="E273" s="1" t="str">
        <f>VLOOKUP( 4,$CX$2:$CY$5,2,0)</f>
        <v>STR</v>
      </c>
      <c r="F273" s="8">
        <v>1000000</v>
      </c>
      <c r="G273" s="1" t="s">
        <v>0</v>
      </c>
      <c r="H273" s="1">
        <v>1000000</v>
      </c>
      <c r="I273" s="1">
        <v>1000000</v>
      </c>
      <c r="J273" s="3">
        <v>1000000</v>
      </c>
      <c r="K273" s="3">
        <v>1000000</v>
      </c>
      <c r="M273" s="3">
        <v>7</v>
      </c>
      <c r="O273" s="3">
        <v>0</v>
      </c>
      <c r="P273" s="3">
        <v>124</v>
      </c>
      <c r="Q273" s="3">
        <v>1</v>
      </c>
      <c r="R273" s="3">
        <v>7</v>
      </c>
      <c r="S273" s="3">
        <v>7</v>
      </c>
      <c r="T273" s="3">
        <v>7</v>
      </c>
      <c r="U273" s="3">
        <v>7</v>
      </c>
      <c r="V273" s="3">
        <v>2.2999999999999998</v>
      </c>
      <c r="W273" s="3">
        <v>1.4</v>
      </c>
      <c r="X273" s="3">
        <v>5629</v>
      </c>
      <c r="Y273" s="3">
        <v>0.5</v>
      </c>
      <c r="Z273" s="3">
        <v>0</v>
      </c>
      <c r="CX273" s="9"/>
      <c r="DA273"/>
      <c r="DC273"/>
      <c r="DD273" s="1"/>
      <c r="DF273" s="1"/>
      <c r="DH273" s="1"/>
      <c r="DJ273" s="1"/>
      <c r="DL273" s="1"/>
      <c r="DN273" s="1"/>
      <c r="DP273" s="1"/>
    </row>
    <row r="274" spans="1:120">
      <c r="A274">
        <v>91972</v>
      </c>
      <c r="B274" s="1" t="s">
        <v>204</v>
      </c>
      <c r="C274" s="1" t="s">
        <v>205</v>
      </c>
      <c r="D274" s="1" t="str">
        <f>VLOOKUP( 110,Squads!A:E,5,0)</f>
        <v>STK</v>
      </c>
      <c r="E274" s="1" t="str">
        <f>VLOOKUP( 4,$CX$2:$CY$5,2,0)</f>
        <v>STR</v>
      </c>
      <c r="F274" s="8">
        <v>1500000</v>
      </c>
      <c r="G274" s="1" t="s">
        <v>0</v>
      </c>
      <c r="H274" s="1">
        <v>1500000</v>
      </c>
      <c r="I274" s="1">
        <v>1500000</v>
      </c>
      <c r="J274" s="3">
        <v>1500000</v>
      </c>
      <c r="K274" s="3">
        <v>1500000</v>
      </c>
      <c r="L274" s="3">
        <v>0</v>
      </c>
      <c r="M274" s="3">
        <v>2</v>
      </c>
      <c r="O274" s="3">
        <v>0</v>
      </c>
      <c r="P274" s="3">
        <v>197</v>
      </c>
      <c r="Q274" s="3">
        <v>2</v>
      </c>
      <c r="R274" s="3">
        <v>2</v>
      </c>
      <c r="S274" s="3">
        <v>1</v>
      </c>
      <c r="T274" s="3">
        <v>2</v>
      </c>
      <c r="U274" s="3">
        <v>0</v>
      </c>
      <c r="V274" s="3">
        <v>0.7</v>
      </c>
      <c r="W274" s="3">
        <v>0.2</v>
      </c>
      <c r="X274" s="3">
        <v>2697</v>
      </c>
      <c r="Y274" s="3">
        <v>0.2</v>
      </c>
      <c r="Z274" s="3">
        <v>0</v>
      </c>
      <c r="CX274" s="9"/>
      <c r="DA274"/>
      <c r="DC274"/>
      <c r="DD274" s="1"/>
      <c r="DF274" s="1"/>
      <c r="DH274" s="1"/>
      <c r="DJ274" s="1"/>
      <c r="DL274" s="1"/>
      <c r="DN274" s="1"/>
      <c r="DP274" s="1"/>
    </row>
    <row r="275" spans="1:120">
      <c r="A275">
        <v>92217</v>
      </c>
      <c r="B275" s="1" t="s">
        <v>94</v>
      </c>
      <c r="C275" s="1" t="s">
        <v>95</v>
      </c>
      <c r="D275" s="1" t="str">
        <f>VLOOKUP( 14,Squads!A:E,5,0)</f>
        <v>LIV</v>
      </c>
      <c r="E275" s="1" t="str">
        <f>VLOOKUP( 4,$CX$2:$CY$5,2,0)</f>
        <v>STR</v>
      </c>
      <c r="F275" s="8">
        <v>5800000</v>
      </c>
      <c r="G275" s="1" t="s">
        <v>0</v>
      </c>
      <c r="H275" s="1">
        <v>5500000</v>
      </c>
      <c r="I275" s="1">
        <v>5500000</v>
      </c>
      <c r="J275" s="3">
        <v>5500000</v>
      </c>
      <c r="K275" s="3">
        <v>5800000</v>
      </c>
      <c r="L275" s="3">
        <v>13</v>
      </c>
      <c r="M275" s="3">
        <v>18</v>
      </c>
      <c r="N275" s="3">
        <v>10</v>
      </c>
      <c r="O275" s="3">
        <v>6</v>
      </c>
      <c r="P275" s="3">
        <v>1</v>
      </c>
      <c r="Q275" s="3">
        <v>5</v>
      </c>
      <c r="R275" s="3">
        <v>41</v>
      </c>
      <c r="S275" s="3">
        <v>8.1999999999999993</v>
      </c>
      <c r="T275" s="3">
        <v>15</v>
      </c>
      <c r="U275" s="3">
        <v>3</v>
      </c>
      <c r="V275" s="3">
        <v>9.3000000000000007</v>
      </c>
      <c r="W275" s="3">
        <v>8.1999999999999993</v>
      </c>
      <c r="X275" s="3">
        <v>103739</v>
      </c>
      <c r="Y275" s="3">
        <v>9.1</v>
      </c>
      <c r="Z275" s="3">
        <v>0</v>
      </c>
      <c r="CX275" s="9"/>
      <c r="DA275"/>
      <c r="DC275"/>
      <c r="DD275" s="1"/>
      <c r="DF275" s="1"/>
      <c r="DH275" s="1"/>
      <c r="DJ275" s="1"/>
      <c r="DL275" s="1"/>
      <c r="DN275" s="1"/>
      <c r="DP275" s="1"/>
    </row>
    <row r="276" spans="1:120">
      <c r="A276">
        <v>92383</v>
      </c>
      <c r="B276" s="1" t="s">
        <v>979</v>
      </c>
      <c r="C276" s="1" t="s">
        <v>980</v>
      </c>
      <c r="D276" s="1" t="str">
        <f>VLOOKUP( 38,Squads!A:E,5,0)</f>
        <v>HUD</v>
      </c>
      <c r="E276" s="1" t="str">
        <f>VLOOKUP( 4,$CX$2:$CY$5,2,0)</f>
        <v>STR</v>
      </c>
      <c r="F276" s="8">
        <v>2000000</v>
      </c>
      <c r="G276" s="1" t="s">
        <v>1011</v>
      </c>
      <c r="H276" s="1">
        <v>2000000</v>
      </c>
      <c r="I276" s="1">
        <v>2000000</v>
      </c>
      <c r="J276" s="3">
        <v>2000000</v>
      </c>
      <c r="K276" s="3">
        <v>2000000</v>
      </c>
      <c r="O276" s="3">
        <v>0</v>
      </c>
      <c r="P276" s="3">
        <v>218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360</v>
      </c>
      <c r="Y276" s="3">
        <v>0</v>
      </c>
      <c r="Z276" s="3">
        <v>0</v>
      </c>
      <c r="CX276" s="9"/>
      <c r="DA276"/>
      <c r="DC276"/>
      <c r="DD276" s="1"/>
      <c r="DF276" s="1"/>
      <c r="DH276" s="1"/>
      <c r="DJ276" s="1"/>
      <c r="DL276" s="1"/>
      <c r="DN276" s="1"/>
      <c r="DP276" s="1"/>
    </row>
    <row r="277" spans="1:120">
      <c r="A277">
        <v>93127</v>
      </c>
      <c r="B277" s="1" t="s">
        <v>1326</v>
      </c>
      <c r="C277" s="1" t="s">
        <v>287</v>
      </c>
      <c r="D277" s="1" t="str">
        <f>VLOOKUP( 110,Squads!A:E,5,0)</f>
        <v>STK</v>
      </c>
      <c r="E277" s="1" t="str">
        <f>VLOOKUP( 4,$CX$2:$CY$5,2,0)</f>
        <v>STR</v>
      </c>
      <c r="F277" s="8">
        <v>2600000</v>
      </c>
      <c r="G277" s="1" t="s">
        <v>0</v>
      </c>
      <c r="H277" s="1">
        <v>2500000</v>
      </c>
      <c r="I277" s="1">
        <v>2500000</v>
      </c>
      <c r="J277" s="3">
        <v>2500000</v>
      </c>
      <c r="K277" s="3">
        <v>2600000</v>
      </c>
      <c r="M277" s="3">
        <v>8</v>
      </c>
      <c r="N277" s="3">
        <v>0</v>
      </c>
      <c r="O277" s="3">
        <v>108</v>
      </c>
      <c r="P277" s="3">
        <v>103</v>
      </c>
      <c r="Q277" s="3">
        <v>2</v>
      </c>
      <c r="R277" s="3">
        <v>8</v>
      </c>
      <c r="S277" s="3">
        <v>4</v>
      </c>
      <c r="T277" s="3">
        <v>8</v>
      </c>
      <c r="U277" s="3">
        <v>0</v>
      </c>
      <c r="V277" s="3">
        <v>2.7</v>
      </c>
      <c r="W277" s="3">
        <v>2.7</v>
      </c>
      <c r="X277" s="3">
        <v>3023</v>
      </c>
      <c r="Y277" s="3">
        <v>0.3</v>
      </c>
      <c r="Z277" s="3">
        <v>0</v>
      </c>
      <c r="CX277" s="9"/>
      <c r="DA277"/>
      <c r="DC277"/>
      <c r="DD277" s="1"/>
      <c r="DF277" s="1"/>
      <c r="DH277" s="1"/>
      <c r="DJ277" s="1"/>
      <c r="DL277" s="1"/>
      <c r="DN277" s="1"/>
      <c r="DP277" s="1"/>
    </row>
    <row r="278" spans="1:120">
      <c r="A278">
        <v>93264</v>
      </c>
      <c r="B278" s="1" t="s">
        <v>11</v>
      </c>
      <c r="C278" s="1" t="s">
        <v>41</v>
      </c>
      <c r="D278" s="1" t="str">
        <f>VLOOKUP( 6,Squads!A:E,5,0)</f>
        <v>TOT</v>
      </c>
      <c r="E278" s="1" t="str">
        <f>VLOOKUP( 3,$CX$2:$CY$5,2,0)</f>
        <v>MID</v>
      </c>
      <c r="F278" s="8">
        <v>2800000</v>
      </c>
      <c r="G278" s="1" t="s">
        <v>0</v>
      </c>
      <c r="H278" s="1">
        <v>3000000</v>
      </c>
      <c r="I278" s="1">
        <v>3000000</v>
      </c>
      <c r="J278" s="3">
        <v>3000000</v>
      </c>
      <c r="K278" s="3">
        <v>2800000</v>
      </c>
      <c r="L278" s="3">
        <v>3</v>
      </c>
      <c r="M278" s="3">
        <v>-1</v>
      </c>
      <c r="N278" s="3">
        <v>0</v>
      </c>
      <c r="O278" s="3">
        <v>108</v>
      </c>
      <c r="P278" s="3">
        <v>197</v>
      </c>
      <c r="Q278" s="3">
        <v>3</v>
      </c>
      <c r="R278" s="3">
        <v>2</v>
      </c>
      <c r="S278" s="3">
        <v>0.7</v>
      </c>
      <c r="T278" s="3">
        <v>3</v>
      </c>
      <c r="U278" s="3">
        <v>-1</v>
      </c>
      <c r="V278" s="3">
        <v>0.7</v>
      </c>
      <c r="W278" s="3">
        <v>1</v>
      </c>
      <c r="X278" s="3">
        <v>15385</v>
      </c>
      <c r="Y278" s="3">
        <v>1.3</v>
      </c>
      <c r="Z278" s="3">
        <v>0</v>
      </c>
      <c r="CX278" s="9"/>
      <c r="DA278"/>
      <c r="DC278"/>
      <c r="DD278" s="1"/>
      <c r="DF278" s="1"/>
      <c r="DH278" s="1"/>
      <c r="DJ278" s="1"/>
      <c r="DL278" s="1"/>
      <c r="DN278" s="1"/>
      <c r="DP278" s="1"/>
    </row>
    <row r="279" spans="1:120">
      <c r="A279">
        <v>93464</v>
      </c>
      <c r="B279" s="1" t="s">
        <v>253</v>
      </c>
      <c r="C279" s="1" t="s">
        <v>147</v>
      </c>
      <c r="D279" s="1" t="str">
        <f>VLOOKUP( 80,Squads!A:E,5,0)</f>
        <v>SWA</v>
      </c>
      <c r="E279" s="1" t="str">
        <f>VLOOKUP( 3,$CX$2:$CY$5,2,0)</f>
        <v>MID</v>
      </c>
      <c r="F279" s="8">
        <v>2300000</v>
      </c>
      <c r="G279" s="1" t="s">
        <v>0</v>
      </c>
      <c r="H279" s="1">
        <v>2500000</v>
      </c>
      <c r="I279" s="1">
        <v>2500000</v>
      </c>
      <c r="J279" s="3">
        <v>2500000</v>
      </c>
      <c r="K279" s="3">
        <v>2300000</v>
      </c>
      <c r="L279" s="3">
        <v>0</v>
      </c>
      <c r="M279" s="3">
        <v>2</v>
      </c>
      <c r="N279" s="3">
        <v>0</v>
      </c>
      <c r="O279" s="3">
        <v>108</v>
      </c>
      <c r="P279" s="3">
        <v>197</v>
      </c>
      <c r="Q279" s="3">
        <v>4</v>
      </c>
      <c r="R279" s="3">
        <v>2</v>
      </c>
      <c r="S279" s="3">
        <v>0.5</v>
      </c>
      <c r="T279" s="3">
        <v>2</v>
      </c>
      <c r="U279" s="3">
        <v>0</v>
      </c>
      <c r="V279" s="3">
        <v>0.7</v>
      </c>
      <c r="W279" s="3">
        <v>0.4</v>
      </c>
      <c r="X279" s="3">
        <v>776</v>
      </c>
      <c r="Y279" s="3">
        <v>0.1</v>
      </c>
      <c r="Z279" s="3">
        <v>0</v>
      </c>
      <c r="CX279" s="9"/>
      <c r="DA279"/>
      <c r="DC279"/>
      <c r="DD279" s="1"/>
      <c r="DF279" s="1"/>
      <c r="DH279" s="1"/>
      <c r="DJ279" s="1"/>
      <c r="DL279" s="1"/>
      <c r="DN279" s="1"/>
      <c r="DP279" s="1"/>
    </row>
    <row r="280" spans="1:120">
      <c r="A280">
        <v>94245</v>
      </c>
      <c r="B280" s="1" t="s">
        <v>62</v>
      </c>
      <c r="C280" s="1" t="s">
        <v>435</v>
      </c>
      <c r="D280" s="1" t="str">
        <f>VLOOKUP( 8,Squads!A:E,5,0)</f>
        <v>CHE</v>
      </c>
      <c r="E280" s="1" t="str">
        <f>VLOOKUP( 4,$CX$2:$CY$5,2,0)</f>
        <v>STR</v>
      </c>
      <c r="F280" s="8">
        <v>2800000</v>
      </c>
      <c r="G280" s="1" t="s">
        <v>0</v>
      </c>
      <c r="H280" s="1">
        <v>3000000</v>
      </c>
      <c r="I280" s="1">
        <v>3000000</v>
      </c>
      <c r="J280" s="3">
        <v>3000000</v>
      </c>
      <c r="K280" s="3">
        <v>2800000</v>
      </c>
      <c r="L280" s="3">
        <v>0</v>
      </c>
      <c r="M280" s="3">
        <v>0</v>
      </c>
      <c r="N280" s="3">
        <v>0</v>
      </c>
      <c r="O280" s="3">
        <v>108</v>
      </c>
      <c r="P280" s="3">
        <v>218</v>
      </c>
      <c r="Q280" s="3">
        <v>3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1</v>
      </c>
      <c r="X280" s="3">
        <v>13556</v>
      </c>
      <c r="Y280" s="3">
        <v>1.2</v>
      </c>
      <c r="Z280" s="3">
        <v>0</v>
      </c>
      <c r="CX280" s="9"/>
      <c r="DA280"/>
      <c r="DC280"/>
      <c r="DD280" s="1"/>
      <c r="DF280" s="1"/>
      <c r="DH280" s="1"/>
      <c r="DJ280" s="1"/>
      <c r="DL280" s="1"/>
      <c r="DN280" s="1"/>
      <c r="DP280" s="1"/>
    </row>
    <row r="281" spans="1:120">
      <c r="A281">
        <v>95463</v>
      </c>
      <c r="B281" s="1" t="s">
        <v>60</v>
      </c>
      <c r="C281" s="1" t="s">
        <v>291</v>
      </c>
      <c r="D281" s="1" t="str">
        <f>VLOOKUP( 38,Squads!A:E,5,0)</f>
        <v>HUD</v>
      </c>
      <c r="E281" s="1" t="str">
        <f>VLOOKUP( 1,$CX$2:$CY$5,2,0)</f>
        <v>GK</v>
      </c>
      <c r="F281" s="8">
        <v>2000000</v>
      </c>
      <c r="G281" s="1" t="s">
        <v>0</v>
      </c>
      <c r="H281" s="1">
        <v>2000000</v>
      </c>
      <c r="I281" s="1">
        <v>2000000</v>
      </c>
      <c r="J281" s="3">
        <v>2000000</v>
      </c>
      <c r="K281" s="3">
        <v>2000000</v>
      </c>
      <c r="O281" s="3">
        <v>0</v>
      </c>
      <c r="P281" s="3">
        <v>218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898</v>
      </c>
      <c r="Y281" s="3">
        <v>0.1</v>
      </c>
      <c r="Z281" s="3">
        <v>0</v>
      </c>
      <c r="CX281" s="9"/>
      <c r="DA281"/>
      <c r="DC281"/>
      <c r="DD281" s="1"/>
      <c r="DF281" s="1"/>
      <c r="DH281" s="1"/>
      <c r="DJ281" s="1"/>
      <c r="DL281" s="1"/>
      <c r="DN281" s="1"/>
      <c r="DP281" s="1"/>
    </row>
    <row r="282" spans="1:120">
      <c r="A282">
        <v>95658</v>
      </c>
      <c r="B282" s="1" t="s">
        <v>13</v>
      </c>
      <c r="C282" s="1" t="s">
        <v>367</v>
      </c>
      <c r="D282" s="1" t="str">
        <f>VLOOKUP( 13,Squads!A:E,5,0)</f>
        <v>LEI</v>
      </c>
      <c r="E282" s="1" t="str">
        <f>VLOOKUP( 2,$CX$2:$CY$5,2,0)</f>
        <v>DEF</v>
      </c>
      <c r="F282" s="8">
        <v>3200000</v>
      </c>
      <c r="G282" s="1" t="s">
        <v>0</v>
      </c>
      <c r="H282" s="1">
        <v>3000000</v>
      </c>
      <c r="I282" s="1">
        <v>3000000</v>
      </c>
      <c r="J282" s="3">
        <v>3000000</v>
      </c>
      <c r="K282" s="3">
        <v>3200000</v>
      </c>
      <c r="L282" s="3">
        <v>-1</v>
      </c>
      <c r="M282" s="3">
        <v>16</v>
      </c>
      <c r="N282" s="3">
        <v>2</v>
      </c>
      <c r="O282" s="3">
        <v>98</v>
      </c>
      <c r="P282" s="3">
        <v>39</v>
      </c>
      <c r="Q282" s="3">
        <v>4</v>
      </c>
      <c r="R282" s="3">
        <v>17</v>
      </c>
      <c r="S282" s="3">
        <v>4.3</v>
      </c>
      <c r="T282" s="3">
        <v>13</v>
      </c>
      <c r="U282" s="3">
        <v>-1</v>
      </c>
      <c r="V282" s="3">
        <v>6</v>
      </c>
      <c r="W282" s="3">
        <v>3.8</v>
      </c>
      <c r="X282" s="3">
        <v>31230</v>
      </c>
      <c r="Y282" s="3">
        <v>2.7</v>
      </c>
      <c r="Z282" s="3">
        <v>0</v>
      </c>
      <c r="CX282" s="9"/>
      <c r="DA282"/>
      <c r="DC282"/>
      <c r="DD282" s="1"/>
      <c r="DF282" s="1"/>
      <c r="DH282" s="1"/>
      <c r="DJ282" s="1"/>
      <c r="DL282" s="1"/>
      <c r="DN282" s="1"/>
      <c r="DP282" s="1"/>
    </row>
    <row r="283" spans="1:120">
      <c r="A283">
        <v>96764</v>
      </c>
      <c r="B283" s="1" t="s">
        <v>605</v>
      </c>
      <c r="C283" s="1" t="s">
        <v>606</v>
      </c>
      <c r="D283" s="1" t="str">
        <f>VLOOKUP( 57,Squads!A:E,5,0)</f>
        <v>WAT</v>
      </c>
      <c r="E283" s="1" t="str">
        <f>VLOOKUP( 4,$CX$2:$CY$5,2,0)</f>
        <v>STR</v>
      </c>
      <c r="F283" s="8">
        <v>2000000</v>
      </c>
      <c r="G283" s="1" t="s">
        <v>978</v>
      </c>
      <c r="H283" s="1">
        <v>2000000</v>
      </c>
      <c r="I283" s="1">
        <v>2000000</v>
      </c>
      <c r="J283" s="3">
        <v>2000000</v>
      </c>
      <c r="K283" s="3">
        <v>2000000</v>
      </c>
      <c r="O283" s="3">
        <v>0</v>
      </c>
      <c r="P283" s="3">
        <v>218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4.7</v>
      </c>
      <c r="W283" s="3">
        <v>3.4</v>
      </c>
      <c r="X283" s="3">
        <v>755</v>
      </c>
      <c r="Y283" s="3">
        <v>0.1</v>
      </c>
      <c r="Z283" s="3">
        <v>0</v>
      </c>
      <c r="CX283" s="9"/>
      <c r="DA283"/>
      <c r="DC283"/>
      <c r="DD283" s="1"/>
      <c r="DF283" s="1"/>
      <c r="DH283" s="1"/>
      <c r="DJ283" s="1"/>
      <c r="DL283" s="1"/>
      <c r="DN283" s="1"/>
      <c r="DP283" s="1"/>
    </row>
    <row r="284" spans="1:120">
      <c r="A284">
        <v>97032</v>
      </c>
      <c r="B284" s="1" t="s">
        <v>135</v>
      </c>
      <c r="C284" s="1" t="s">
        <v>136</v>
      </c>
      <c r="D284" s="1" t="str">
        <f>VLOOKUP( 20,Squads!A:E,5,0)</f>
        <v>SOU</v>
      </c>
      <c r="E284" s="1" t="str">
        <f>VLOOKUP( 2,$CX$2:$CY$5,2,0)</f>
        <v>DEF</v>
      </c>
      <c r="F284" s="8">
        <v>5000000</v>
      </c>
      <c r="G284" s="1" t="s">
        <v>0</v>
      </c>
      <c r="H284" s="1">
        <v>5000000</v>
      </c>
      <c r="I284" s="1">
        <v>5000000</v>
      </c>
      <c r="J284" s="3">
        <v>5000000</v>
      </c>
      <c r="K284" s="3">
        <v>5000000</v>
      </c>
      <c r="O284" s="3">
        <v>0</v>
      </c>
      <c r="P284" s="3">
        <v>218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5</v>
      </c>
      <c r="W284" s="3">
        <v>5.6</v>
      </c>
      <c r="X284" s="3">
        <v>28929</v>
      </c>
      <c r="Y284" s="3">
        <v>2.5</v>
      </c>
      <c r="Z284" s="3">
        <v>0</v>
      </c>
      <c r="CX284" s="9"/>
      <c r="DA284"/>
      <c r="DC284"/>
      <c r="DD284" s="1"/>
      <c r="DF284" s="1"/>
      <c r="DH284" s="1"/>
      <c r="DJ284" s="1"/>
      <c r="DL284" s="1"/>
      <c r="DN284" s="1"/>
      <c r="DP284" s="1"/>
    </row>
    <row r="285" spans="1:120">
      <c r="A285">
        <v>97299</v>
      </c>
      <c r="B285" s="1" t="s">
        <v>30</v>
      </c>
      <c r="C285" s="1" t="s">
        <v>31</v>
      </c>
      <c r="D285" s="1" t="str">
        <f>VLOOKUP( 43,Squads!A:E,5,0)</f>
        <v>MCI</v>
      </c>
      <c r="E285" s="1" t="str">
        <f>VLOOKUP( 2,$CX$2:$CY$5,2,0)</f>
        <v>DEF</v>
      </c>
      <c r="F285" s="8">
        <v>3800000</v>
      </c>
      <c r="G285" s="1" t="s">
        <v>0</v>
      </c>
      <c r="H285" s="1">
        <v>4000000</v>
      </c>
      <c r="I285" s="1">
        <v>4000000</v>
      </c>
      <c r="J285" s="3">
        <v>4000000</v>
      </c>
      <c r="K285" s="3">
        <v>3800000</v>
      </c>
      <c r="L285" s="3">
        <v>5</v>
      </c>
      <c r="M285" s="3">
        <v>0</v>
      </c>
      <c r="N285" s="3">
        <v>0</v>
      </c>
      <c r="O285" s="3">
        <v>108</v>
      </c>
      <c r="P285" s="3">
        <v>155</v>
      </c>
      <c r="Q285" s="3">
        <v>3</v>
      </c>
      <c r="R285" s="3">
        <v>5</v>
      </c>
      <c r="S285" s="3">
        <v>1.7</v>
      </c>
      <c r="T285" s="3">
        <v>5</v>
      </c>
      <c r="U285" s="3">
        <v>0</v>
      </c>
      <c r="V285" s="3">
        <v>1.7</v>
      </c>
      <c r="W285" s="3">
        <v>1</v>
      </c>
      <c r="X285" s="3">
        <v>74805</v>
      </c>
      <c r="Y285" s="3">
        <v>6.6</v>
      </c>
      <c r="Z285" s="3">
        <v>0</v>
      </c>
      <c r="CX285" s="9"/>
      <c r="DA285"/>
      <c r="DC285"/>
      <c r="DD285" s="1"/>
      <c r="DF285" s="1"/>
      <c r="DH285" s="1"/>
      <c r="DJ285" s="1"/>
      <c r="DL285" s="1"/>
      <c r="DN285" s="1"/>
      <c r="DP285" s="1"/>
    </row>
    <row r="286" spans="1:120">
      <c r="A286">
        <v>97485</v>
      </c>
      <c r="B286" s="1" t="s">
        <v>1</v>
      </c>
      <c r="C286" s="1" t="s">
        <v>270</v>
      </c>
      <c r="D286" s="1" t="str">
        <f>VLOOKUP( 110,Squads!A:E,5,0)</f>
        <v>STK</v>
      </c>
      <c r="E286" s="1" t="str">
        <f>VLOOKUP( 2,$CX$2:$CY$5,2,0)</f>
        <v>DEF</v>
      </c>
      <c r="F286" s="8">
        <v>2000000</v>
      </c>
      <c r="G286" s="1" t="s">
        <v>0</v>
      </c>
      <c r="H286" s="1">
        <v>2000000</v>
      </c>
      <c r="I286" s="1">
        <v>2000000</v>
      </c>
      <c r="J286" s="3">
        <v>2000000</v>
      </c>
      <c r="K286" s="3">
        <v>2000000</v>
      </c>
      <c r="O286" s="3">
        <v>0</v>
      </c>
      <c r="P286" s="3">
        <v>218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3.7</v>
      </c>
      <c r="W286" s="3">
        <v>1.8</v>
      </c>
      <c r="X286" s="3">
        <v>3782</v>
      </c>
      <c r="Y286" s="3">
        <v>0.3</v>
      </c>
      <c r="Z286" s="3">
        <v>0</v>
      </c>
      <c r="CX286" s="9"/>
      <c r="DA286"/>
      <c r="DC286"/>
      <c r="DD286" s="1"/>
      <c r="DF286" s="1"/>
      <c r="DH286" s="1"/>
      <c r="DJ286" s="1"/>
      <c r="DL286" s="1"/>
      <c r="DN286" s="1"/>
      <c r="DP286" s="1"/>
    </row>
    <row r="287" spans="1:120">
      <c r="A287">
        <v>98745</v>
      </c>
      <c r="B287" s="1" t="s">
        <v>9</v>
      </c>
      <c r="C287" s="1" t="s">
        <v>10</v>
      </c>
      <c r="D287" s="1" t="str">
        <f>VLOOKUP( 3,Squads!A:E,5,0)</f>
        <v>ARS</v>
      </c>
      <c r="E287" s="1" t="str">
        <f>VLOOKUP( 2,$CX$2:$CY$5,2,0)</f>
        <v>DEF</v>
      </c>
      <c r="F287" s="8">
        <v>3700000</v>
      </c>
      <c r="G287" s="1" t="s">
        <v>0</v>
      </c>
      <c r="H287" s="1">
        <v>4000000</v>
      </c>
      <c r="I287" s="1">
        <v>4000000</v>
      </c>
      <c r="J287" s="3">
        <v>4000000</v>
      </c>
      <c r="K287" s="3">
        <v>3700000</v>
      </c>
      <c r="L287" s="3">
        <v>1</v>
      </c>
      <c r="M287" s="3">
        <v>0</v>
      </c>
      <c r="N287" s="3">
        <v>-3</v>
      </c>
      <c r="O287" s="3">
        <v>235</v>
      </c>
      <c r="P287" s="3">
        <v>354</v>
      </c>
      <c r="Q287" s="3">
        <v>3</v>
      </c>
      <c r="R287" s="3">
        <v>-2</v>
      </c>
      <c r="S287" s="3">
        <v>-0.7</v>
      </c>
      <c r="T287" s="3">
        <v>1</v>
      </c>
      <c r="U287" s="3">
        <v>-3</v>
      </c>
      <c r="V287" s="3">
        <v>-0.7</v>
      </c>
      <c r="W287" s="3">
        <v>0.4</v>
      </c>
      <c r="X287" s="3">
        <v>109956</v>
      </c>
      <c r="Y287" s="3">
        <v>9.6</v>
      </c>
      <c r="Z287" s="3">
        <v>0</v>
      </c>
      <c r="CX287" s="9"/>
      <c r="DA287"/>
      <c r="DC287"/>
      <c r="DD287" s="1"/>
      <c r="DF287" s="1"/>
      <c r="DH287" s="1"/>
      <c r="DJ287" s="1"/>
      <c r="DL287" s="1"/>
      <c r="DN287" s="1"/>
      <c r="DP287" s="1"/>
    </row>
    <row r="288" spans="1:120">
      <c r="A288">
        <v>100059</v>
      </c>
      <c r="B288" s="1" t="s">
        <v>1327</v>
      </c>
      <c r="C288" s="1" t="s">
        <v>1328</v>
      </c>
      <c r="D288" s="1" t="str">
        <f>VLOOKUP( 14,Squads!A:E,5,0)</f>
        <v>LIV</v>
      </c>
      <c r="E288" s="1" t="str">
        <f>VLOOKUP( 2,$CX$2:$CY$5,2,0)</f>
        <v>DEF</v>
      </c>
      <c r="F288" s="8">
        <v>2800000</v>
      </c>
      <c r="G288" s="1" t="s">
        <v>0</v>
      </c>
      <c r="H288" s="1">
        <v>2500000</v>
      </c>
      <c r="I288" s="1">
        <v>2500000</v>
      </c>
      <c r="J288" s="3">
        <v>2500000</v>
      </c>
      <c r="K288" s="3">
        <v>2800000</v>
      </c>
      <c r="L288" s="3">
        <v>4</v>
      </c>
      <c r="M288" s="3">
        <v>2</v>
      </c>
      <c r="N288" s="3">
        <v>8</v>
      </c>
      <c r="O288" s="3">
        <v>13</v>
      </c>
      <c r="P288" s="3">
        <v>57</v>
      </c>
      <c r="Q288" s="3">
        <v>4</v>
      </c>
      <c r="R288" s="3">
        <v>14</v>
      </c>
      <c r="S288" s="3">
        <v>3.5</v>
      </c>
      <c r="T288" s="3">
        <v>8</v>
      </c>
      <c r="U288" s="3">
        <v>1</v>
      </c>
      <c r="V288" s="3">
        <v>4.3</v>
      </c>
      <c r="W288" s="3">
        <v>2.6</v>
      </c>
      <c r="X288" s="3">
        <v>2918</v>
      </c>
      <c r="Y288" s="3">
        <v>0.3</v>
      </c>
      <c r="Z288" s="3">
        <v>0</v>
      </c>
      <c r="CX288" s="9"/>
      <c r="DA288"/>
      <c r="DC288"/>
      <c r="DD288" s="1"/>
      <c r="DF288" s="1"/>
      <c r="DH288" s="1"/>
      <c r="DJ288" s="1"/>
      <c r="DL288" s="1"/>
      <c r="DN288" s="1"/>
      <c r="DP288" s="1"/>
    </row>
    <row r="289" spans="1:120">
      <c r="A289">
        <v>100180</v>
      </c>
      <c r="C289" s="1" t="s">
        <v>993</v>
      </c>
      <c r="D289" s="1" t="str">
        <f>VLOOKUP( 43,Squads!A:E,5,0)</f>
        <v>MCI</v>
      </c>
      <c r="E289" s="1" t="str">
        <f>VLOOKUP( 2,$CX$2:$CY$5,2,0)</f>
        <v>DEF</v>
      </c>
      <c r="F289" s="8">
        <v>3600000</v>
      </c>
      <c r="G289" s="1" t="s">
        <v>0</v>
      </c>
      <c r="H289" s="1">
        <v>3500000</v>
      </c>
      <c r="I289" s="1">
        <v>3500000</v>
      </c>
      <c r="J289" s="3">
        <v>3500000</v>
      </c>
      <c r="K289" s="3">
        <v>3600000</v>
      </c>
      <c r="L289" s="3">
        <v>5</v>
      </c>
      <c r="M289" s="3">
        <v>0</v>
      </c>
      <c r="N289" s="3">
        <v>5</v>
      </c>
      <c r="O289" s="3">
        <v>48</v>
      </c>
      <c r="P289" s="3">
        <v>87</v>
      </c>
      <c r="Q289" s="3">
        <v>3</v>
      </c>
      <c r="R289" s="3">
        <v>10</v>
      </c>
      <c r="S289" s="3">
        <v>3.3</v>
      </c>
      <c r="T289" s="3">
        <v>5</v>
      </c>
      <c r="U289" s="3">
        <v>0</v>
      </c>
      <c r="V289" s="3">
        <v>3.3</v>
      </c>
      <c r="W289" s="3">
        <v>3.3</v>
      </c>
      <c r="X289" s="3">
        <v>43898</v>
      </c>
      <c r="Y289" s="3">
        <v>3.8</v>
      </c>
      <c r="Z289" s="3">
        <v>0</v>
      </c>
      <c r="CX289" s="9"/>
      <c r="DA289"/>
      <c r="DC289"/>
      <c r="DD289" s="1"/>
      <c r="DF289" s="1"/>
      <c r="DH289" s="1"/>
      <c r="DJ289" s="1"/>
      <c r="DL289" s="1"/>
      <c r="DN289" s="1"/>
      <c r="DP289" s="1"/>
    </row>
    <row r="290" spans="1:120">
      <c r="A290">
        <v>101148</v>
      </c>
      <c r="B290" s="1" t="s">
        <v>751</v>
      </c>
      <c r="C290" s="1" t="s">
        <v>752</v>
      </c>
      <c r="D290" s="1" t="str">
        <f>VLOOKUP( 4,Squads!A:E,5,0)</f>
        <v>NEW</v>
      </c>
      <c r="E290" s="1" t="str">
        <f>VLOOKUP( 2,$CX$2:$CY$5,2,0)</f>
        <v>DEF</v>
      </c>
      <c r="F290" s="8">
        <v>2500000</v>
      </c>
      <c r="G290" s="1" t="s">
        <v>0</v>
      </c>
      <c r="H290" s="1">
        <v>2500000</v>
      </c>
      <c r="I290" s="1">
        <v>2500000</v>
      </c>
      <c r="J290" s="3">
        <v>2500000</v>
      </c>
      <c r="K290" s="3">
        <v>2500000</v>
      </c>
      <c r="L290" s="3">
        <v>-1</v>
      </c>
      <c r="M290" s="3">
        <v>-1</v>
      </c>
      <c r="N290" s="3">
        <v>5</v>
      </c>
      <c r="O290" s="3">
        <v>48</v>
      </c>
      <c r="P290" s="3">
        <v>178</v>
      </c>
      <c r="Q290" s="3">
        <v>3</v>
      </c>
      <c r="R290" s="3">
        <v>3</v>
      </c>
      <c r="S290" s="3">
        <v>1</v>
      </c>
      <c r="T290" s="3">
        <v>5</v>
      </c>
      <c r="U290" s="3">
        <v>-1</v>
      </c>
      <c r="V290" s="3">
        <v>1</v>
      </c>
      <c r="W290" s="3">
        <v>1.3</v>
      </c>
      <c r="X290" s="3">
        <v>5725</v>
      </c>
      <c r="Y290" s="3">
        <v>0.5</v>
      </c>
      <c r="Z290" s="3">
        <v>0</v>
      </c>
      <c r="CF290" s="4"/>
      <c r="CX290" s="9"/>
      <c r="DA290"/>
      <c r="DC290"/>
      <c r="DD290" s="1"/>
      <c r="DF290" s="1"/>
      <c r="DH290" s="1"/>
      <c r="DJ290" s="1"/>
      <c r="DL290" s="1"/>
      <c r="DN290" s="1"/>
      <c r="DP290" s="1"/>
    </row>
    <row r="291" spans="1:120">
      <c r="A291">
        <v>101178</v>
      </c>
      <c r="B291" s="1" t="s">
        <v>149</v>
      </c>
      <c r="C291" s="1" t="s">
        <v>333</v>
      </c>
      <c r="D291" s="1" t="str">
        <f>VLOOKUP( 20,Squads!A:E,5,0)</f>
        <v>SOU</v>
      </c>
      <c r="E291" s="1" t="str">
        <f>VLOOKUP( 3,$CX$2:$CY$5,2,0)</f>
        <v>MID</v>
      </c>
      <c r="F291" s="8">
        <v>1900000</v>
      </c>
      <c r="G291" s="1" t="s">
        <v>0</v>
      </c>
      <c r="H291" s="1">
        <v>2000000</v>
      </c>
      <c r="I291" s="1">
        <v>2000000</v>
      </c>
      <c r="J291" s="3">
        <v>2000000</v>
      </c>
      <c r="K291" s="3">
        <v>1900000</v>
      </c>
      <c r="L291" s="3">
        <v>3</v>
      </c>
      <c r="M291" s="3">
        <v>0</v>
      </c>
      <c r="N291" s="3">
        <v>0</v>
      </c>
      <c r="O291" s="3">
        <v>108</v>
      </c>
      <c r="P291" s="3">
        <v>178</v>
      </c>
      <c r="Q291" s="3">
        <v>4</v>
      </c>
      <c r="R291" s="3">
        <v>3</v>
      </c>
      <c r="S291" s="3">
        <v>0.8</v>
      </c>
      <c r="T291" s="3">
        <v>3</v>
      </c>
      <c r="U291" s="3">
        <v>0</v>
      </c>
      <c r="V291" s="3">
        <v>0</v>
      </c>
      <c r="W291" s="3">
        <v>1.2</v>
      </c>
      <c r="X291" s="3">
        <v>4435</v>
      </c>
      <c r="Y291" s="3">
        <v>0.4</v>
      </c>
      <c r="Z291" s="3">
        <v>0</v>
      </c>
      <c r="CF291" s="4"/>
      <c r="CX291" s="9"/>
      <c r="DA291"/>
      <c r="DC291"/>
      <c r="DD291" s="1"/>
      <c r="DF291" s="1"/>
      <c r="DH291" s="1"/>
      <c r="DJ291" s="1"/>
      <c r="DL291" s="1"/>
      <c r="DN291" s="1"/>
      <c r="DP291" s="1"/>
    </row>
    <row r="292" spans="1:120">
      <c r="A292">
        <v>101184</v>
      </c>
      <c r="B292" s="1" t="s">
        <v>326</v>
      </c>
      <c r="C292" s="1" t="s">
        <v>327</v>
      </c>
      <c r="D292" s="1" t="str">
        <f>VLOOKUP( 3,Squads!A:E,5,0)</f>
        <v>ARS</v>
      </c>
      <c r="E292" s="1" t="str">
        <f>VLOOKUP( 2,$CX$2:$CY$5,2,0)</f>
        <v>DEF</v>
      </c>
      <c r="F292" s="8">
        <v>2000000</v>
      </c>
      <c r="G292" s="1" t="s">
        <v>0</v>
      </c>
      <c r="H292" s="1">
        <v>2000000</v>
      </c>
      <c r="I292" s="1">
        <v>2000000</v>
      </c>
      <c r="J292" s="3">
        <v>2000000</v>
      </c>
      <c r="K292" s="3">
        <v>2000000</v>
      </c>
      <c r="O292" s="3">
        <v>0</v>
      </c>
      <c r="P292" s="3">
        <v>218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1.2</v>
      </c>
      <c r="X292" s="3">
        <v>27463</v>
      </c>
      <c r="Y292" s="3">
        <v>2.4</v>
      </c>
      <c r="Z292" s="3">
        <v>0</v>
      </c>
      <c r="CP292" s="7"/>
      <c r="CR292" s="6"/>
      <c r="CX292" s="9"/>
      <c r="DA292"/>
      <c r="DC292"/>
      <c r="DD292" s="1"/>
      <c r="DF292" s="1"/>
      <c r="DH292" s="1"/>
      <c r="DJ292" s="1"/>
      <c r="DL292" s="1"/>
      <c r="DN292" s="1"/>
      <c r="DP292" s="1"/>
    </row>
    <row r="293" spans="1:120">
      <c r="A293">
        <v>101668</v>
      </c>
      <c r="B293" s="1" t="s">
        <v>63</v>
      </c>
      <c r="C293" s="1" t="s">
        <v>64</v>
      </c>
      <c r="D293" s="1" t="str">
        <f>VLOOKUP( 13,Squads!A:E,5,0)</f>
        <v>LEI</v>
      </c>
      <c r="E293" s="1" t="str">
        <f>VLOOKUP( 4,$CX$2:$CY$5,2,0)</f>
        <v>STR</v>
      </c>
      <c r="F293" s="8">
        <v>4600000</v>
      </c>
      <c r="G293" s="1" t="s">
        <v>0</v>
      </c>
      <c r="H293" s="1">
        <v>4500000</v>
      </c>
      <c r="I293" s="1">
        <v>4500000</v>
      </c>
      <c r="J293" s="3">
        <v>4500000</v>
      </c>
      <c r="K293" s="3">
        <v>4600000</v>
      </c>
      <c r="L293" s="3">
        <v>13</v>
      </c>
      <c r="M293" s="3">
        <v>3</v>
      </c>
      <c r="N293" s="3">
        <v>0</v>
      </c>
      <c r="O293" s="3">
        <v>108</v>
      </c>
      <c r="P293" s="3">
        <v>42</v>
      </c>
      <c r="Q293" s="3">
        <v>3</v>
      </c>
      <c r="R293" s="3">
        <v>16</v>
      </c>
      <c r="S293" s="3">
        <v>5.3</v>
      </c>
      <c r="T293" s="3">
        <v>13</v>
      </c>
      <c r="U293" s="3">
        <v>0</v>
      </c>
      <c r="V293" s="3">
        <v>5.3</v>
      </c>
      <c r="W293" s="3">
        <v>3.2</v>
      </c>
      <c r="X293" s="3">
        <v>74460</v>
      </c>
      <c r="Y293" s="3">
        <v>6.5</v>
      </c>
      <c r="Z293" s="3">
        <v>0</v>
      </c>
      <c r="CP293" s="7"/>
      <c r="CR293" s="6"/>
      <c r="CX293" s="9"/>
      <c r="DA293"/>
      <c r="DC293"/>
      <c r="DD293" s="1"/>
      <c r="DF293" s="1"/>
      <c r="DH293" s="1"/>
      <c r="DJ293" s="1"/>
      <c r="DL293" s="1"/>
      <c r="DN293" s="1"/>
      <c r="DP293" s="1"/>
    </row>
    <row r="294" spans="1:120">
      <c r="A294">
        <v>102380</v>
      </c>
      <c r="B294" s="1" t="s">
        <v>105</v>
      </c>
      <c r="C294" s="1" t="s">
        <v>960</v>
      </c>
      <c r="D294" s="1" t="str">
        <f>VLOOKUP( 8,Squads!A:E,5,0)</f>
        <v>CHE</v>
      </c>
      <c r="E294" s="1" t="str">
        <f>VLOOKUP( 2,$CX$2:$CY$5,2,0)</f>
        <v>DEF</v>
      </c>
      <c r="F294" s="8">
        <v>3400000</v>
      </c>
      <c r="G294" s="1" t="s">
        <v>0</v>
      </c>
      <c r="H294" s="1">
        <v>3500000</v>
      </c>
      <c r="I294" s="1">
        <v>3500000</v>
      </c>
      <c r="J294" s="3">
        <v>3500000</v>
      </c>
      <c r="K294" s="3">
        <v>3400000</v>
      </c>
      <c r="L294" s="3">
        <v>-3</v>
      </c>
      <c r="M294" s="3">
        <v>-1</v>
      </c>
      <c r="N294" s="3">
        <v>8</v>
      </c>
      <c r="O294" s="3">
        <v>13</v>
      </c>
      <c r="P294" s="3">
        <v>170</v>
      </c>
      <c r="Q294" s="3">
        <v>3</v>
      </c>
      <c r="R294" s="3">
        <v>4</v>
      </c>
      <c r="S294" s="3">
        <v>1.3</v>
      </c>
      <c r="T294" s="3">
        <v>8</v>
      </c>
      <c r="U294" s="3">
        <v>-3</v>
      </c>
      <c r="V294" s="3">
        <v>1.3</v>
      </c>
      <c r="W294" s="3">
        <v>1.3</v>
      </c>
      <c r="X294" s="3">
        <v>43827</v>
      </c>
      <c r="Y294" s="3">
        <v>3.8</v>
      </c>
      <c r="Z294" s="3">
        <v>0</v>
      </c>
      <c r="CP294" s="7"/>
      <c r="CR294" s="6"/>
      <c r="CX294" s="9"/>
      <c r="DA294"/>
      <c r="DC294"/>
      <c r="DD294" s="1"/>
      <c r="DF294" s="1"/>
      <c r="DH294" s="1"/>
      <c r="DJ294" s="1"/>
      <c r="DL294" s="1"/>
      <c r="DN294" s="1"/>
      <c r="DP294" s="1"/>
    </row>
    <row r="295" spans="1:120">
      <c r="A295">
        <v>102826</v>
      </c>
      <c r="B295" s="1" t="s">
        <v>994</v>
      </c>
      <c r="C295" s="1" t="s">
        <v>995</v>
      </c>
      <c r="D295" s="1" t="str">
        <f>VLOOKUP( 43,Squads!A:E,5,0)</f>
        <v>MCI</v>
      </c>
      <c r="E295" s="1" t="str">
        <f>VLOOKUP( 2,$CX$2:$CY$5,2,0)</f>
        <v>DEF</v>
      </c>
      <c r="F295" s="8">
        <v>3800000</v>
      </c>
      <c r="G295" s="1" t="s">
        <v>0</v>
      </c>
      <c r="H295" s="1">
        <v>4000000</v>
      </c>
      <c r="I295" s="1">
        <v>4000000</v>
      </c>
      <c r="J295" s="3">
        <v>4000000</v>
      </c>
      <c r="K295" s="3">
        <v>3800000</v>
      </c>
      <c r="N295" s="3">
        <v>-1</v>
      </c>
      <c r="O295" s="3">
        <v>199</v>
      </c>
      <c r="P295" s="3">
        <v>342</v>
      </c>
      <c r="Q295" s="3">
        <v>1</v>
      </c>
      <c r="R295" s="3">
        <v>-1</v>
      </c>
      <c r="S295" s="3">
        <v>-1</v>
      </c>
      <c r="T295" s="3">
        <v>-1</v>
      </c>
      <c r="U295" s="3">
        <v>-1</v>
      </c>
      <c r="V295" s="3">
        <v>0</v>
      </c>
      <c r="W295" s="3">
        <v>2.5</v>
      </c>
      <c r="X295" s="3">
        <v>18714</v>
      </c>
      <c r="Y295" s="3">
        <v>1.6</v>
      </c>
      <c r="Z295" s="3">
        <v>0</v>
      </c>
      <c r="CP295" s="7"/>
      <c r="CR295" s="6"/>
      <c r="CX295" s="9"/>
      <c r="DA295"/>
      <c r="DC295"/>
      <c r="DD295" s="1"/>
      <c r="DF295" s="1"/>
      <c r="DH295" s="1"/>
      <c r="DJ295" s="1"/>
      <c r="DL295" s="1"/>
      <c r="DN295" s="1"/>
      <c r="DP295" s="1"/>
    </row>
    <row r="296" spans="1:120">
      <c r="A296">
        <v>103025</v>
      </c>
      <c r="B296" s="1" t="s">
        <v>58</v>
      </c>
      <c r="C296" s="1" t="s">
        <v>59</v>
      </c>
      <c r="D296" s="1" t="str">
        <f>VLOOKUP( 13,Squads!A:E,5,0)</f>
        <v>LEI</v>
      </c>
      <c r="E296" s="1" t="str">
        <f>VLOOKUP( 3,$CX$2:$CY$5,2,0)</f>
        <v>MID</v>
      </c>
      <c r="F296" s="8">
        <v>4100000</v>
      </c>
      <c r="G296" s="1" t="s">
        <v>0</v>
      </c>
      <c r="H296" s="1">
        <v>4000000</v>
      </c>
      <c r="I296" s="1">
        <v>4000000</v>
      </c>
      <c r="J296" s="3">
        <v>4000000</v>
      </c>
      <c r="K296" s="3">
        <v>4100000</v>
      </c>
      <c r="L296" s="3">
        <v>5</v>
      </c>
      <c r="M296" s="3">
        <v>10</v>
      </c>
      <c r="N296" s="3">
        <v>0</v>
      </c>
      <c r="O296" s="3">
        <v>108</v>
      </c>
      <c r="P296" s="3">
        <v>50</v>
      </c>
      <c r="Q296" s="3">
        <v>3</v>
      </c>
      <c r="R296" s="3">
        <v>15</v>
      </c>
      <c r="S296" s="3">
        <v>5</v>
      </c>
      <c r="T296" s="3">
        <v>10</v>
      </c>
      <c r="U296" s="3">
        <v>0</v>
      </c>
      <c r="V296" s="3">
        <v>5</v>
      </c>
      <c r="W296" s="3">
        <v>3.6</v>
      </c>
      <c r="X296" s="3">
        <v>34048</v>
      </c>
      <c r="Y296" s="3">
        <v>3</v>
      </c>
      <c r="Z296" s="3">
        <v>0</v>
      </c>
      <c r="CP296" s="7"/>
      <c r="CR296" s="6"/>
      <c r="CX296" s="9"/>
      <c r="DA296"/>
      <c r="DC296"/>
      <c r="DD296" s="1"/>
      <c r="DF296" s="1"/>
      <c r="DH296" s="1"/>
      <c r="DJ296" s="1"/>
      <c r="DL296" s="1"/>
      <c r="DN296" s="1"/>
      <c r="DP296" s="1"/>
    </row>
    <row r="297" spans="1:120">
      <c r="A297">
        <v>103192</v>
      </c>
      <c r="B297" s="1" t="s">
        <v>169</v>
      </c>
      <c r="C297" s="1" t="s">
        <v>170</v>
      </c>
      <c r="D297" s="1" t="str">
        <f>VLOOKUP( 110,Squads!A:E,5,0)</f>
        <v>STK</v>
      </c>
      <c r="E297" s="1" t="str">
        <f>VLOOKUP( 2,$CX$2:$CY$5,2,0)</f>
        <v>DEF</v>
      </c>
      <c r="F297" s="8">
        <v>3200000</v>
      </c>
      <c r="G297" s="1" t="s">
        <v>0</v>
      </c>
      <c r="H297" s="1">
        <v>3000000</v>
      </c>
      <c r="I297" s="1">
        <v>3000000</v>
      </c>
      <c r="J297" s="3">
        <v>3000000</v>
      </c>
      <c r="K297" s="3">
        <v>3200000</v>
      </c>
      <c r="L297" s="3">
        <v>0</v>
      </c>
      <c r="M297" s="3">
        <v>13</v>
      </c>
      <c r="N297" s="3">
        <v>3</v>
      </c>
      <c r="O297" s="3">
        <v>71</v>
      </c>
      <c r="P297" s="3">
        <v>42</v>
      </c>
      <c r="Q297" s="3">
        <v>4</v>
      </c>
      <c r="R297" s="3">
        <v>16</v>
      </c>
      <c r="S297" s="3">
        <v>4</v>
      </c>
      <c r="T297" s="3">
        <v>8</v>
      </c>
      <c r="U297" s="3">
        <v>0</v>
      </c>
      <c r="V297" s="3">
        <v>5.3</v>
      </c>
      <c r="W297" s="3">
        <v>4.8</v>
      </c>
      <c r="X297" s="3">
        <v>48460</v>
      </c>
      <c r="Y297" s="3">
        <v>4.2</v>
      </c>
      <c r="Z297" s="3">
        <v>0</v>
      </c>
      <c r="CP297" s="7"/>
      <c r="CR297" s="6"/>
      <c r="CX297" s="9"/>
      <c r="DA297"/>
      <c r="DC297"/>
      <c r="DD297" s="1"/>
      <c r="DF297" s="1"/>
      <c r="DH297" s="1"/>
      <c r="DJ297" s="1"/>
      <c r="DL297" s="1"/>
      <c r="DN297" s="1"/>
      <c r="DP297" s="1"/>
    </row>
    <row r="298" spans="1:120">
      <c r="A298">
        <v>103914</v>
      </c>
      <c r="B298" s="1" t="s">
        <v>244</v>
      </c>
      <c r="C298" s="1" t="s">
        <v>971</v>
      </c>
      <c r="D298" s="1" t="str">
        <f>VLOOKUP( 90,Squads!A:E,5,0)</f>
        <v>BUR</v>
      </c>
      <c r="E298" s="1" t="str">
        <f>VLOOKUP( 2,$CX$2:$CY$5,2,0)</f>
        <v>DEF</v>
      </c>
      <c r="F298" s="8">
        <v>1500000</v>
      </c>
      <c r="G298" s="1" t="s">
        <v>0</v>
      </c>
      <c r="H298" s="1">
        <v>1500000</v>
      </c>
      <c r="I298" s="1">
        <v>1500000</v>
      </c>
      <c r="J298" s="3">
        <v>1500000</v>
      </c>
      <c r="K298" s="3">
        <v>1500000</v>
      </c>
      <c r="M298" s="3">
        <v>5</v>
      </c>
      <c r="O298" s="3">
        <v>0</v>
      </c>
      <c r="P298" s="3">
        <v>155</v>
      </c>
      <c r="Q298" s="3">
        <v>1</v>
      </c>
      <c r="R298" s="3">
        <v>5</v>
      </c>
      <c r="S298" s="3">
        <v>5</v>
      </c>
      <c r="T298" s="3">
        <v>5</v>
      </c>
      <c r="U298" s="3">
        <v>5</v>
      </c>
      <c r="V298" s="3">
        <v>2</v>
      </c>
      <c r="W298" s="3">
        <v>2</v>
      </c>
      <c r="X298" s="3">
        <v>3338</v>
      </c>
      <c r="Y298" s="3">
        <v>0.3</v>
      </c>
      <c r="Z298" s="3">
        <v>0</v>
      </c>
      <c r="CP298" s="7"/>
      <c r="CR298" s="6"/>
      <c r="CX298" s="9"/>
      <c r="DA298"/>
      <c r="DC298"/>
      <c r="DD298" s="1"/>
      <c r="DF298" s="1"/>
      <c r="DH298" s="1"/>
      <c r="DJ298" s="1"/>
      <c r="DL298" s="1"/>
      <c r="DN298" s="1"/>
      <c r="DP298" s="1"/>
    </row>
    <row r="299" spans="1:120">
      <c r="A299">
        <v>103955</v>
      </c>
      <c r="B299" s="1" t="s">
        <v>241</v>
      </c>
      <c r="C299" s="1" t="s">
        <v>242</v>
      </c>
      <c r="D299" s="1" t="str">
        <f>VLOOKUP( 43,Squads!A:E,5,0)</f>
        <v>MCI</v>
      </c>
      <c r="E299" s="1" t="str">
        <f>VLOOKUP( 3,$CX$2:$CY$5,2,0)</f>
        <v>MID</v>
      </c>
      <c r="F299" s="8">
        <v>4000000</v>
      </c>
      <c r="G299" s="1" t="s">
        <v>0</v>
      </c>
      <c r="H299" s="1">
        <v>4000000</v>
      </c>
      <c r="I299" s="1">
        <v>4000000</v>
      </c>
      <c r="J299" s="3">
        <v>4000000</v>
      </c>
      <c r="K299" s="3">
        <v>4000000</v>
      </c>
      <c r="L299" s="3">
        <v>-1</v>
      </c>
      <c r="M299" s="3">
        <v>8</v>
      </c>
      <c r="N299" s="3">
        <v>2</v>
      </c>
      <c r="O299" s="3">
        <v>98</v>
      </c>
      <c r="P299" s="3">
        <v>95</v>
      </c>
      <c r="Q299" s="3">
        <v>3</v>
      </c>
      <c r="R299" s="3">
        <v>9</v>
      </c>
      <c r="S299" s="3">
        <v>3</v>
      </c>
      <c r="T299" s="3">
        <v>8</v>
      </c>
      <c r="U299" s="3">
        <v>-1</v>
      </c>
      <c r="V299" s="3">
        <v>3</v>
      </c>
      <c r="W299" s="3">
        <v>2.8</v>
      </c>
      <c r="X299" s="3">
        <v>61326</v>
      </c>
      <c r="Y299" s="3">
        <v>5.4</v>
      </c>
      <c r="Z299" s="3">
        <v>0</v>
      </c>
      <c r="CP299" s="7"/>
      <c r="CR299" s="6"/>
      <c r="CX299" s="9"/>
      <c r="DA299"/>
      <c r="DC299"/>
      <c r="DD299" s="1"/>
      <c r="DF299" s="1"/>
      <c r="DH299" s="1"/>
      <c r="DJ299" s="1"/>
      <c r="DL299" s="1"/>
      <c r="DN299" s="1"/>
      <c r="DP299" s="1"/>
    </row>
    <row r="300" spans="1:120">
      <c r="A300">
        <v>104542</v>
      </c>
      <c r="B300" s="1" t="s">
        <v>123</v>
      </c>
      <c r="C300" s="1" t="s">
        <v>124</v>
      </c>
      <c r="D300" s="1" t="str">
        <f>VLOOKUP( 14,Squads!A:E,5,0)</f>
        <v>LIV</v>
      </c>
      <c r="E300" s="1" t="str">
        <f>VLOOKUP( 1,$CX$2:$CY$5,2,0)</f>
        <v>GK</v>
      </c>
      <c r="F300" s="8">
        <v>2200000</v>
      </c>
      <c r="G300" s="1" t="s">
        <v>0</v>
      </c>
      <c r="H300" s="1">
        <v>2000000</v>
      </c>
      <c r="I300" s="1">
        <v>2000000</v>
      </c>
      <c r="J300" s="3">
        <v>2000000</v>
      </c>
      <c r="K300" s="3">
        <v>2200000</v>
      </c>
      <c r="N300" s="3">
        <v>5</v>
      </c>
      <c r="O300" s="3">
        <v>48</v>
      </c>
      <c r="P300" s="3">
        <v>155</v>
      </c>
      <c r="Q300" s="3">
        <v>1</v>
      </c>
      <c r="R300" s="3">
        <v>5</v>
      </c>
      <c r="S300" s="3">
        <v>5</v>
      </c>
      <c r="T300" s="3">
        <v>5</v>
      </c>
      <c r="U300" s="3">
        <v>5</v>
      </c>
      <c r="V300" s="3">
        <v>2.7</v>
      </c>
      <c r="W300" s="3">
        <v>2.6</v>
      </c>
      <c r="X300" s="3">
        <v>3302</v>
      </c>
      <c r="Y300" s="3">
        <v>0.3</v>
      </c>
      <c r="Z300" s="3">
        <v>0</v>
      </c>
      <c r="CP300" s="7"/>
      <c r="CR300" s="6"/>
      <c r="CX300" s="9"/>
      <c r="DA300"/>
      <c r="DC300"/>
      <c r="DD300" s="1"/>
      <c r="DF300" s="1"/>
      <c r="DH300" s="1"/>
      <c r="DJ300" s="1"/>
      <c r="DL300" s="1"/>
      <c r="DN300" s="1"/>
      <c r="DP300" s="1"/>
    </row>
    <row r="301" spans="1:120">
      <c r="A301">
        <v>104545</v>
      </c>
      <c r="B301" s="1" t="s">
        <v>763</v>
      </c>
      <c r="C301" s="1" t="s">
        <v>275</v>
      </c>
      <c r="D301" s="1" t="str">
        <f>VLOOKUP( 38,Squads!A:E,5,0)</f>
        <v>HUD</v>
      </c>
      <c r="E301" s="1" t="str">
        <f>VLOOKUP( 2,$CX$2:$CY$5,2,0)</f>
        <v>DEF</v>
      </c>
      <c r="F301" s="8">
        <v>1800000</v>
      </c>
      <c r="G301" s="1" t="s">
        <v>0</v>
      </c>
      <c r="H301" s="1">
        <v>1500000</v>
      </c>
      <c r="I301" s="1">
        <v>1500000</v>
      </c>
      <c r="J301" s="3">
        <v>1500000</v>
      </c>
      <c r="K301" s="3">
        <v>1800000</v>
      </c>
      <c r="L301" s="3">
        <v>7</v>
      </c>
      <c r="M301" s="3">
        <v>5</v>
      </c>
      <c r="N301" s="3">
        <v>8</v>
      </c>
      <c r="O301" s="3">
        <v>13</v>
      </c>
      <c r="P301" s="3">
        <v>26</v>
      </c>
      <c r="Q301" s="3">
        <v>3</v>
      </c>
      <c r="R301" s="3">
        <v>20</v>
      </c>
      <c r="S301" s="3">
        <v>6.7</v>
      </c>
      <c r="T301" s="3">
        <v>8</v>
      </c>
      <c r="U301" s="3">
        <v>5</v>
      </c>
      <c r="V301" s="3">
        <v>6.7</v>
      </c>
      <c r="W301" s="3">
        <v>4</v>
      </c>
      <c r="X301" s="3">
        <v>5842</v>
      </c>
      <c r="Y301" s="3">
        <v>0.5</v>
      </c>
      <c r="Z301" s="3">
        <v>0</v>
      </c>
      <c r="CP301" s="7"/>
      <c r="CR301" s="6"/>
      <c r="CX301" s="9"/>
      <c r="DA301"/>
      <c r="DC301"/>
      <c r="DD301" s="1"/>
      <c r="DF301" s="1"/>
      <c r="DH301" s="1"/>
      <c r="DJ301" s="1"/>
      <c r="DL301" s="1"/>
      <c r="DN301" s="1"/>
      <c r="DP301" s="1"/>
    </row>
    <row r="302" spans="1:120">
      <c r="A302">
        <v>104547</v>
      </c>
      <c r="B302" s="1" t="s">
        <v>753</v>
      </c>
      <c r="C302" s="1" t="s">
        <v>754</v>
      </c>
      <c r="D302" s="1" t="str">
        <f>VLOOKUP( 4,Squads!A:E,5,0)</f>
        <v>NEW</v>
      </c>
      <c r="E302" s="1" t="str">
        <f>VLOOKUP( 4,$CX$2:$CY$5,2,0)</f>
        <v>STR</v>
      </c>
      <c r="F302" s="8">
        <v>2500000</v>
      </c>
      <c r="G302" s="1" t="s">
        <v>0</v>
      </c>
      <c r="H302" s="1">
        <v>2500000</v>
      </c>
      <c r="I302" s="1">
        <v>2500000</v>
      </c>
      <c r="J302" s="3">
        <v>2500000</v>
      </c>
      <c r="K302" s="3">
        <v>2500000</v>
      </c>
      <c r="L302" s="3">
        <v>0</v>
      </c>
      <c r="M302" s="3">
        <v>0</v>
      </c>
      <c r="O302" s="3">
        <v>0</v>
      </c>
      <c r="P302" s="3">
        <v>218</v>
      </c>
      <c r="Q302" s="3">
        <v>2</v>
      </c>
      <c r="R302" s="3">
        <v>0</v>
      </c>
      <c r="S302" s="3">
        <v>0</v>
      </c>
      <c r="T302" s="3">
        <v>0</v>
      </c>
      <c r="U302" s="3">
        <v>0</v>
      </c>
      <c r="V302" s="3">
        <v>0.7</v>
      </c>
      <c r="W302" s="3">
        <v>0.7</v>
      </c>
      <c r="X302" s="3">
        <v>8665</v>
      </c>
      <c r="Y302" s="3">
        <v>0.8</v>
      </c>
      <c r="Z302" s="3">
        <v>0</v>
      </c>
      <c r="CP302" s="7"/>
      <c r="CR302" s="6"/>
      <c r="CX302" s="9"/>
      <c r="DA302"/>
      <c r="DC302"/>
      <c r="DD302" s="1"/>
      <c r="DF302" s="1"/>
      <c r="DH302" s="1"/>
      <c r="DJ302" s="1"/>
      <c r="DL302" s="1"/>
      <c r="DN302" s="1"/>
      <c r="DP302" s="1"/>
    </row>
    <row r="303" spans="1:120">
      <c r="A303">
        <v>104953</v>
      </c>
      <c r="B303" s="1" t="s">
        <v>54</v>
      </c>
      <c r="C303" s="1" t="s">
        <v>755</v>
      </c>
      <c r="D303" s="1" t="str">
        <f>VLOOKUP( 4,Squads!A:E,5,0)</f>
        <v>NEW</v>
      </c>
      <c r="E303" s="1" t="str">
        <f>VLOOKUP( 3,$CX$2:$CY$5,2,0)</f>
        <v>MID</v>
      </c>
      <c r="F303" s="8">
        <v>2500000</v>
      </c>
      <c r="G303" s="1" t="s">
        <v>0</v>
      </c>
      <c r="H303" s="1">
        <v>2500000</v>
      </c>
      <c r="I303" s="1">
        <v>2500000</v>
      </c>
      <c r="J303" s="3">
        <v>2500000</v>
      </c>
      <c r="K303" s="3">
        <v>2500000</v>
      </c>
      <c r="L303" s="3">
        <v>0</v>
      </c>
      <c r="M303" s="3">
        <v>0</v>
      </c>
      <c r="N303" s="3">
        <v>5</v>
      </c>
      <c r="O303" s="3">
        <v>48</v>
      </c>
      <c r="P303" s="3">
        <v>155</v>
      </c>
      <c r="Q303" s="3">
        <v>3</v>
      </c>
      <c r="R303" s="3">
        <v>5</v>
      </c>
      <c r="S303" s="3">
        <v>1.7</v>
      </c>
      <c r="T303" s="3">
        <v>5</v>
      </c>
      <c r="U303" s="3">
        <v>0</v>
      </c>
      <c r="V303" s="3">
        <v>1.7</v>
      </c>
      <c r="W303" s="3">
        <v>2</v>
      </c>
      <c r="X303" s="3">
        <v>2180</v>
      </c>
      <c r="Y303" s="3">
        <v>0.2</v>
      </c>
      <c r="Z303" s="3">
        <v>0</v>
      </c>
      <c r="CP303" s="7"/>
      <c r="CR303" s="6"/>
      <c r="CX303" s="9"/>
      <c r="DA303"/>
      <c r="DC303"/>
      <c r="DD303" s="1"/>
      <c r="DF303" s="1"/>
      <c r="DH303" s="1"/>
      <c r="DJ303" s="1"/>
      <c r="DL303" s="1"/>
      <c r="DN303" s="1"/>
      <c r="DP303" s="1"/>
    </row>
    <row r="304" spans="1:120">
      <c r="A304">
        <v>105666</v>
      </c>
      <c r="B304" s="1" t="s">
        <v>74</v>
      </c>
      <c r="C304" s="1" t="s">
        <v>75</v>
      </c>
      <c r="D304" s="1" t="str">
        <f>VLOOKUP( 110,Squads!A:E,5,0)</f>
        <v>STK</v>
      </c>
      <c r="E304" s="1" t="str">
        <f>VLOOKUP( 1,$CX$2:$CY$5,2,0)</f>
        <v>GK</v>
      </c>
      <c r="F304" s="8">
        <v>3200000</v>
      </c>
      <c r="G304" s="1" t="s">
        <v>0</v>
      </c>
      <c r="H304" s="1">
        <v>3000000</v>
      </c>
      <c r="I304" s="1">
        <v>3000000</v>
      </c>
      <c r="J304" s="3">
        <v>3000000</v>
      </c>
      <c r="K304" s="3">
        <v>3200000</v>
      </c>
      <c r="L304" s="3">
        <v>0</v>
      </c>
      <c r="M304" s="3">
        <v>13</v>
      </c>
      <c r="N304" s="3">
        <v>0</v>
      </c>
      <c r="O304" s="3">
        <v>108</v>
      </c>
      <c r="P304" s="3">
        <v>64</v>
      </c>
      <c r="Q304" s="3">
        <v>3</v>
      </c>
      <c r="R304" s="3">
        <v>13</v>
      </c>
      <c r="S304" s="3">
        <v>4.3</v>
      </c>
      <c r="T304" s="3">
        <v>13</v>
      </c>
      <c r="U304" s="3">
        <v>0</v>
      </c>
      <c r="V304" s="3">
        <v>4.3</v>
      </c>
      <c r="W304" s="3">
        <v>5</v>
      </c>
      <c r="X304" s="3">
        <v>28984</v>
      </c>
      <c r="Y304" s="3">
        <v>2.5</v>
      </c>
      <c r="Z304" s="3">
        <v>0</v>
      </c>
      <c r="CP304" s="7"/>
      <c r="CR304" s="6"/>
      <c r="CX304" s="9"/>
      <c r="DA304"/>
      <c r="DC304"/>
      <c r="DD304" s="1"/>
      <c r="DF304" s="1"/>
      <c r="DH304" s="1"/>
      <c r="DJ304" s="1"/>
      <c r="DL304" s="1"/>
      <c r="DN304" s="1"/>
      <c r="DP304" s="1"/>
    </row>
    <row r="305" spans="1:120">
      <c r="A305">
        <v>105717</v>
      </c>
      <c r="B305" s="1" t="s">
        <v>976</v>
      </c>
      <c r="C305" s="1" t="s">
        <v>977</v>
      </c>
      <c r="D305" s="1" t="str">
        <f>VLOOKUP( 21,Squads!A:E,5,0)</f>
        <v>WHU</v>
      </c>
      <c r="E305" s="1" t="str">
        <f>VLOOKUP( 2,$CX$2:$CY$5,2,0)</f>
        <v>DEF</v>
      </c>
      <c r="F305" s="8">
        <v>2000000</v>
      </c>
      <c r="G305" s="1" t="s">
        <v>0</v>
      </c>
      <c r="H305" s="1">
        <v>2000000</v>
      </c>
      <c r="I305" s="1">
        <v>2000000</v>
      </c>
      <c r="J305" s="3">
        <v>2000000</v>
      </c>
      <c r="K305" s="3">
        <v>2000000</v>
      </c>
      <c r="L305" s="3">
        <v>-3</v>
      </c>
      <c r="M305" s="3">
        <v>8</v>
      </c>
      <c r="O305" s="3">
        <v>0</v>
      </c>
      <c r="P305" s="3">
        <v>155</v>
      </c>
      <c r="Q305" s="3">
        <v>2</v>
      </c>
      <c r="R305" s="3">
        <v>5</v>
      </c>
      <c r="S305" s="3">
        <v>2.5</v>
      </c>
      <c r="T305" s="3">
        <v>8</v>
      </c>
      <c r="U305" s="3">
        <v>-3</v>
      </c>
      <c r="V305" s="3">
        <v>2.2999999999999998</v>
      </c>
      <c r="W305" s="3">
        <v>2</v>
      </c>
      <c r="X305" s="3">
        <v>2355</v>
      </c>
      <c r="Y305" s="3">
        <v>0.2</v>
      </c>
      <c r="Z305" s="3">
        <v>0</v>
      </c>
      <c r="CP305" s="7"/>
      <c r="CR305" s="6"/>
      <c r="CX305" s="9"/>
      <c r="DA305"/>
      <c r="DC305"/>
      <c r="DD305" s="1"/>
      <c r="DF305" s="1"/>
      <c r="DH305" s="1"/>
      <c r="DJ305" s="1"/>
      <c r="DL305" s="1"/>
      <c r="DN305" s="1"/>
      <c r="DP305" s="1"/>
    </row>
    <row r="306" spans="1:120">
      <c r="A306">
        <v>106611</v>
      </c>
      <c r="B306" s="1" t="s">
        <v>238</v>
      </c>
      <c r="C306" s="1" t="s">
        <v>266</v>
      </c>
      <c r="D306" s="1" t="str">
        <f>VLOOKUP( 11,Squads!A:E,5,0)</f>
        <v>EVE</v>
      </c>
      <c r="E306" s="1" t="str">
        <f>VLOOKUP( 2,$CX$2:$CY$5,2,0)</f>
        <v>DEF</v>
      </c>
      <c r="F306" s="8">
        <v>3800000</v>
      </c>
      <c r="G306" s="1" t="s">
        <v>0</v>
      </c>
      <c r="H306" s="1">
        <v>4000000</v>
      </c>
      <c r="I306" s="1">
        <v>4000000</v>
      </c>
      <c r="J306" s="3">
        <v>4000000</v>
      </c>
      <c r="K306" s="3">
        <v>3800000</v>
      </c>
      <c r="L306" s="3">
        <v>21</v>
      </c>
      <c r="M306" s="3">
        <v>0</v>
      </c>
      <c r="N306" s="3">
        <v>-1</v>
      </c>
      <c r="O306" s="3">
        <v>199</v>
      </c>
      <c r="P306" s="3">
        <v>26</v>
      </c>
      <c r="Q306" s="3">
        <v>5</v>
      </c>
      <c r="R306" s="3">
        <v>20</v>
      </c>
      <c r="S306" s="3">
        <v>4</v>
      </c>
      <c r="T306" s="3">
        <v>13</v>
      </c>
      <c r="U306" s="3">
        <v>-1</v>
      </c>
      <c r="V306" s="3">
        <v>-0.3</v>
      </c>
      <c r="W306" s="3">
        <v>4</v>
      </c>
      <c r="X306" s="3">
        <v>200765</v>
      </c>
      <c r="Y306" s="3">
        <v>17.600000000000001</v>
      </c>
      <c r="Z306" s="3">
        <v>0</v>
      </c>
      <c r="CP306" s="7"/>
      <c r="CR306" s="6"/>
      <c r="CX306" s="9"/>
      <c r="DA306"/>
      <c r="DC306"/>
      <c r="DD306" s="1"/>
      <c r="DF306" s="1"/>
      <c r="DH306" s="1"/>
      <c r="DJ306" s="1"/>
      <c r="DL306" s="1"/>
      <c r="DN306" s="1"/>
      <c r="DP306" s="1"/>
    </row>
    <row r="307" spans="1:120">
      <c r="A307">
        <v>106618</v>
      </c>
      <c r="B307" s="1" t="s">
        <v>427</v>
      </c>
      <c r="C307" s="1" t="s">
        <v>799</v>
      </c>
      <c r="D307" s="1" t="str">
        <f>VLOOKUP( 4,Squads!A:E,5,0)</f>
        <v>NEW</v>
      </c>
      <c r="E307" s="1" t="str">
        <f>VLOOKUP( 2,$CX$2:$CY$5,2,0)</f>
        <v>DEF</v>
      </c>
      <c r="F307" s="8">
        <v>2000000</v>
      </c>
      <c r="G307" s="1" t="s">
        <v>0</v>
      </c>
      <c r="H307" s="1">
        <v>2000000</v>
      </c>
      <c r="I307" s="1">
        <v>2000000</v>
      </c>
      <c r="J307" s="3">
        <v>2000000</v>
      </c>
      <c r="K307" s="3">
        <v>2000000</v>
      </c>
      <c r="L307" s="3">
        <v>-1</v>
      </c>
      <c r="O307" s="3">
        <v>0</v>
      </c>
      <c r="P307" s="3">
        <v>342</v>
      </c>
      <c r="Q307" s="3">
        <v>1</v>
      </c>
      <c r="R307" s="3">
        <v>-1</v>
      </c>
      <c r="S307" s="3">
        <v>-1</v>
      </c>
      <c r="T307" s="3">
        <v>-1</v>
      </c>
      <c r="U307" s="3">
        <v>-1</v>
      </c>
      <c r="V307" s="3">
        <v>-1</v>
      </c>
      <c r="W307" s="3">
        <v>-1</v>
      </c>
      <c r="X307" s="3">
        <v>2180</v>
      </c>
      <c r="Y307" s="3">
        <v>0.2</v>
      </c>
      <c r="Z307" s="3">
        <v>0</v>
      </c>
      <c r="CP307" s="7"/>
      <c r="CR307" s="6"/>
      <c r="CX307" s="9"/>
      <c r="DA307"/>
      <c r="DC307"/>
      <c r="DD307" s="1"/>
      <c r="DF307" s="1"/>
      <c r="DH307" s="1"/>
      <c r="DJ307" s="1"/>
      <c r="DL307" s="1"/>
      <c r="DN307" s="1"/>
      <c r="DP307" s="1"/>
    </row>
    <row r="308" spans="1:120">
      <c r="A308">
        <v>106760</v>
      </c>
      <c r="B308" s="1" t="s">
        <v>5</v>
      </c>
      <c r="C308" s="1" t="s">
        <v>6</v>
      </c>
      <c r="D308" s="1" t="str">
        <f>VLOOKUP( 1,Squads!A:E,5,0)</f>
        <v>MUN</v>
      </c>
      <c r="E308" s="1" t="str">
        <f>VLOOKUP( 2,$CX$2:$CY$5,2,0)</f>
        <v>DEF</v>
      </c>
      <c r="F308" s="8">
        <v>3000000</v>
      </c>
      <c r="G308" s="1" t="s">
        <v>0</v>
      </c>
      <c r="H308" s="1">
        <v>3000000</v>
      </c>
      <c r="I308" s="1">
        <v>3000000</v>
      </c>
      <c r="J308" s="3">
        <v>3000000</v>
      </c>
      <c r="K308" s="3">
        <v>3000000</v>
      </c>
      <c r="O308" s="3">
        <v>0</v>
      </c>
      <c r="P308" s="3">
        <v>218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4.3</v>
      </c>
      <c r="W308" s="3">
        <v>4.2</v>
      </c>
      <c r="X308" s="3">
        <v>6354</v>
      </c>
      <c r="Y308" s="3">
        <v>0.6</v>
      </c>
      <c r="Z308" s="3">
        <v>0</v>
      </c>
      <c r="CP308" s="7"/>
      <c r="CR308" s="6"/>
      <c r="CX308" s="9"/>
      <c r="DA308"/>
      <c r="DC308"/>
      <c r="DD308" s="1"/>
      <c r="DF308" s="1"/>
      <c r="DH308" s="1"/>
      <c r="DJ308" s="1"/>
      <c r="DL308" s="1"/>
      <c r="DN308" s="1"/>
      <c r="DP308" s="1"/>
    </row>
    <row r="309" spans="1:120">
      <c r="A309">
        <v>106899</v>
      </c>
      <c r="B309" s="1" t="s">
        <v>972</v>
      </c>
      <c r="C309" s="1" t="s">
        <v>973</v>
      </c>
      <c r="D309" s="1" t="str">
        <f>VLOOKUP( 80,Squads!A:E,5,0)</f>
        <v>SWA</v>
      </c>
      <c r="E309" s="1" t="str">
        <f>VLOOKUP( 3,$CX$2:$CY$5,2,0)</f>
        <v>MID</v>
      </c>
      <c r="F309" s="8">
        <v>1500000</v>
      </c>
      <c r="G309" s="1" t="s">
        <v>0</v>
      </c>
      <c r="H309" s="1">
        <v>1500000</v>
      </c>
      <c r="I309" s="1">
        <v>1500000</v>
      </c>
      <c r="J309" s="3">
        <v>1500000</v>
      </c>
      <c r="K309" s="3">
        <v>1500000</v>
      </c>
      <c r="M309" s="3">
        <v>0</v>
      </c>
      <c r="O309" s="3">
        <v>0</v>
      </c>
      <c r="P309" s="3">
        <v>218</v>
      </c>
      <c r="Q309" s="3">
        <v>2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946</v>
      </c>
      <c r="Y309" s="3">
        <v>0.1</v>
      </c>
      <c r="Z309" s="3">
        <v>0</v>
      </c>
      <c r="CP309" s="7"/>
      <c r="CR309" s="6"/>
      <c r="CX309" s="9"/>
      <c r="DA309"/>
      <c r="DC309"/>
      <c r="DD309" s="1"/>
      <c r="DF309" s="1"/>
      <c r="DH309" s="1"/>
      <c r="DJ309" s="1"/>
      <c r="DL309" s="1"/>
      <c r="DN309" s="1"/>
      <c r="DP309" s="1"/>
    </row>
    <row r="310" spans="1:120">
      <c r="A310">
        <v>108413</v>
      </c>
      <c r="B310" s="1" t="s">
        <v>463</v>
      </c>
      <c r="C310" s="1" t="s">
        <v>466</v>
      </c>
      <c r="D310" s="1" t="str">
        <f>VLOOKUP( 57,Squads!A:E,5,0)</f>
        <v>WAT</v>
      </c>
      <c r="E310" s="1" t="str">
        <f>VLOOKUP( 3,$CX$2:$CY$5,2,0)</f>
        <v>MID</v>
      </c>
      <c r="F310" s="8">
        <v>2000000</v>
      </c>
      <c r="G310" s="1" t="s">
        <v>0</v>
      </c>
      <c r="H310" s="1">
        <v>2000000</v>
      </c>
      <c r="I310" s="1">
        <v>2000000</v>
      </c>
      <c r="J310" s="3">
        <v>2000000</v>
      </c>
      <c r="K310" s="3">
        <v>2000000</v>
      </c>
      <c r="M310" s="3">
        <v>2</v>
      </c>
      <c r="O310" s="3">
        <v>0</v>
      </c>
      <c r="P310" s="3">
        <v>197</v>
      </c>
      <c r="Q310" s="3">
        <v>1</v>
      </c>
      <c r="R310" s="3">
        <v>2</v>
      </c>
      <c r="S310" s="3">
        <v>2</v>
      </c>
      <c r="T310" s="3">
        <v>2</v>
      </c>
      <c r="U310" s="3">
        <v>2</v>
      </c>
      <c r="V310" s="3">
        <v>2</v>
      </c>
      <c r="W310" s="3">
        <v>2</v>
      </c>
      <c r="X310" s="3">
        <v>1164</v>
      </c>
      <c r="Y310" s="3">
        <v>0.1</v>
      </c>
      <c r="Z310" s="3">
        <v>0</v>
      </c>
      <c r="CX310" s="9"/>
      <c r="DA310"/>
      <c r="DC310"/>
      <c r="DD310" s="1"/>
      <c r="DF310" s="1"/>
      <c r="DH310" s="1"/>
      <c r="DJ310" s="1"/>
      <c r="DL310" s="1"/>
      <c r="DN310" s="1"/>
      <c r="DP310" s="1"/>
    </row>
    <row r="311" spans="1:120">
      <c r="A311">
        <v>108438</v>
      </c>
      <c r="B311" s="1" t="s">
        <v>961</v>
      </c>
      <c r="C311" s="1" t="s">
        <v>962</v>
      </c>
      <c r="D311" s="1" t="str">
        <f>VLOOKUP( 11,Squads!A:E,5,0)</f>
        <v>EVE</v>
      </c>
      <c r="E311" s="1" t="str">
        <f>VLOOKUP( 4,$CX$2:$CY$5,2,0)</f>
        <v>STR</v>
      </c>
      <c r="F311" s="8">
        <v>2300000</v>
      </c>
      <c r="G311" s="1" t="s">
        <v>1011</v>
      </c>
      <c r="H311" s="1">
        <v>2500000</v>
      </c>
      <c r="I311" s="1">
        <v>2500000</v>
      </c>
      <c r="J311" s="3">
        <v>2500000</v>
      </c>
      <c r="K311" s="3">
        <v>2300000</v>
      </c>
      <c r="L311" s="3">
        <v>0</v>
      </c>
      <c r="N311" s="3">
        <v>0</v>
      </c>
      <c r="O311" s="3">
        <v>108</v>
      </c>
      <c r="P311" s="3">
        <v>218</v>
      </c>
      <c r="Q311" s="3">
        <v>2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>
        <v>0</v>
      </c>
      <c r="X311" s="3">
        <v>5669</v>
      </c>
      <c r="Y311" s="3">
        <v>0.5</v>
      </c>
      <c r="Z311" s="3">
        <v>0</v>
      </c>
      <c r="CX311" s="9"/>
      <c r="DA311"/>
      <c r="DC311"/>
      <c r="DD311" s="1"/>
      <c r="DF311" s="1"/>
      <c r="DH311" s="1"/>
      <c r="DJ311" s="1"/>
      <c r="DL311" s="1"/>
      <c r="DN311" s="1"/>
      <c r="DP311" s="1"/>
    </row>
    <row r="312" spans="1:120">
      <c r="A312">
        <v>108823</v>
      </c>
      <c r="B312" s="1" t="s">
        <v>42</v>
      </c>
      <c r="C312" s="1" t="s">
        <v>43</v>
      </c>
      <c r="D312" s="1" t="str">
        <f>VLOOKUP( 6,Squads!A:E,5,0)</f>
        <v>TOT</v>
      </c>
      <c r="E312" s="1" t="str">
        <f>VLOOKUP( 3,$CX$2:$CY$5,2,0)</f>
        <v>MID</v>
      </c>
      <c r="F312" s="8">
        <v>6000000</v>
      </c>
      <c r="G312" s="1" t="s">
        <v>0</v>
      </c>
      <c r="H312" s="1">
        <v>6000000</v>
      </c>
      <c r="I312" s="1">
        <v>6000000</v>
      </c>
      <c r="J312" s="3">
        <v>6000000</v>
      </c>
      <c r="K312" s="3">
        <v>6000000</v>
      </c>
      <c r="L312" s="3">
        <v>8</v>
      </c>
      <c r="M312" s="3">
        <v>0</v>
      </c>
      <c r="N312" s="3">
        <v>8</v>
      </c>
      <c r="O312" s="3">
        <v>13</v>
      </c>
      <c r="P312" s="3">
        <v>42</v>
      </c>
      <c r="Q312" s="3">
        <v>3</v>
      </c>
      <c r="R312" s="3">
        <v>16</v>
      </c>
      <c r="S312" s="3">
        <v>5.3</v>
      </c>
      <c r="T312" s="3">
        <v>8</v>
      </c>
      <c r="U312" s="3">
        <v>0</v>
      </c>
      <c r="V312" s="3">
        <v>5.3</v>
      </c>
      <c r="W312" s="3">
        <v>5.2</v>
      </c>
      <c r="X312" s="3">
        <v>383928</v>
      </c>
      <c r="Y312" s="3">
        <v>33.700000000000003</v>
      </c>
      <c r="Z312" s="3">
        <v>0</v>
      </c>
      <c r="CX312" s="9"/>
      <c r="DA312"/>
      <c r="DC312"/>
      <c r="DD312" s="1"/>
      <c r="DF312" s="1"/>
      <c r="DH312" s="1"/>
      <c r="DJ312" s="1"/>
      <c r="DL312" s="1"/>
      <c r="DN312" s="1"/>
      <c r="DP312" s="1"/>
    </row>
    <row r="313" spans="1:120">
      <c r="A313">
        <v>109065</v>
      </c>
      <c r="B313" s="1" t="s">
        <v>764</v>
      </c>
      <c r="C313" s="1" t="s">
        <v>983</v>
      </c>
      <c r="D313" s="1" t="str">
        <f>VLOOKUP( 11,Squads!A:E,5,0)</f>
        <v>EVE</v>
      </c>
      <c r="E313" s="1" t="str">
        <f>VLOOKUP( 3,$CX$2:$CY$5,2,0)</f>
        <v>MID</v>
      </c>
      <c r="F313" s="8">
        <v>3500000</v>
      </c>
      <c r="G313" s="1" t="s">
        <v>1011</v>
      </c>
      <c r="H313" s="1">
        <v>3500000</v>
      </c>
      <c r="I313" s="1">
        <v>3500000</v>
      </c>
      <c r="J313" s="3">
        <v>3500000</v>
      </c>
      <c r="K313" s="3">
        <v>3500000</v>
      </c>
      <c r="L313" s="3">
        <v>0</v>
      </c>
      <c r="M313" s="3">
        <v>0</v>
      </c>
      <c r="O313" s="3">
        <v>0</v>
      </c>
      <c r="P313" s="3">
        <v>218</v>
      </c>
      <c r="Q313" s="3">
        <v>3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>
        <v>0</v>
      </c>
      <c r="X313" s="3">
        <v>14066</v>
      </c>
      <c r="Y313" s="3">
        <v>1.2</v>
      </c>
      <c r="Z313" s="3">
        <v>0</v>
      </c>
      <c r="CX313" s="9"/>
      <c r="DA313"/>
      <c r="DC313"/>
      <c r="DD313" s="1"/>
      <c r="DF313" s="1"/>
      <c r="DH313" s="1"/>
      <c r="DJ313" s="1"/>
      <c r="DL313" s="1"/>
      <c r="DN313" s="1"/>
      <c r="DP313" s="1"/>
    </row>
    <row r="314" spans="1:120">
      <c r="A314">
        <v>109322</v>
      </c>
      <c r="B314" s="1" t="s">
        <v>239</v>
      </c>
      <c r="C314" s="1" t="s">
        <v>240</v>
      </c>
      <c r="D314" s="1" t="str">
        <f>VLOOKUP( 1,Squads!A:E,5,0)</f>
        <v>MUN</v>
      </c>
      <c r="E314" s="1" t="str">
        <f>VLOOKUP( 3,$CX$2:$CY$5,2,0)</f>
        <v>MID</v>
      </c>
      <c r="F314" s="8">
        <v>2400000</v>
      </c>
      <c r="G314" s="1" t="s">
        <v>0</v>
      </c>
      <c r="H314" s="1">
        <v>2500000</v>
      </c>
      <c r="I314" s="1">
        <v>2500000</v>
      </c>
      <c r="J314" s="3">
        <v>2500000</v>
      </c>
      <c r="K314" s="3">
        <v>2400000</v>
      </c>
      <c r="L314" s="3">
        <v>0</v>
      </c>
      <c r="N314" s="3">
        <v>2</v>
      </c>
      <c r="O314" s="3">
        <v>98</v>
      </c>
      <c r="P314" s="3">
        <v>197</v>
      </c>
      <c r="Q314" s="3">
        <v>2</v>
      </c>
      <c r="R314" s="3">
        <v>2</v>
      </c>
      <c r="S314" s="3">
        <v>1</v>
      </c>
      <c r="T314" s="3">
        <v>2</v>
      </c>
      <c r="U314" s="3">
        <v>0</v>
      </c>
      <c r="V314" s="3">
        <v>0.7</v>
      </c>
      <c r="W314" s="3">
        <v>0.4</v>
      </c>
      <c r="X314" s="3">
        <v>4793</v>
      </c>
      <c r="Y314" s="3">
        <v>0.4</v>
      </c>
      <c r="Z314" s="3">
        <v>0</v>
      </c>
      <c r="CX314" s="9"/>
      <c r="DA314"/>
      <c r="DC314"/>
      <c r="DD314" s="1"/>
      <c r="DF314" s="1"/>
      <c r="DH314" s="1"/>
      <c r="DJ314" s="1"/>
      <c r="DL314" s="1"/>
      <c r="DN314" s="1"/>
      <c r="DP314" s="1"/>
    </row>
    <row r="315" spans="1:120">
      <c r="A315">
        <v>109528</v>
      </c>
      <c r="B315" s="1" t="s">
        <v>989</v>
      </c>
      <c r="C315" s="1" t="s">
        <v>996</v>
      </c>
      <c r="D315" s="1" t="str">
        <f>VLOOKUP( 4,Squads!A:E,5,0)</f>
        <v>NEW</v>
      </c>
      <c r="E315" s="1" t="str">
        <f>VLOOKUP( 2,$CX$2:$CY$5,2,0)</f>
        <v>DEF</v>
      </c>
      <c r="F315" s="8">
        <v>2500000</v>
      </c>
      <c r="G315" s="1" t="s">
        <v>0</v>
      </c>
      <c r="H315" s="1">
        <v>2500000</v>
      </c>
      <c r="I315" s="1">
        <v>2500000</v>
      </c>
      <c r="J315" s="3">
        <v>2500000</v>
      </c>
      <c r="K315" s="3">
        <v>2500000</v>
      </c>
      <c r="L315" s="3">
        <v>-1</v>
      </c>
      <c r="M315" s="3">
        <v>0</v>
      </c>
      <c r="N315" s="3">
        <v>5</v>
      </c>
      <c r="O315" s="3">
        <v>48</v>
      </c>
      <c r="P315" s="3">
        <v>170</v>
      </c>
      <c r="Q315" s="3">
        <v>3</v>
      </c>
      <c r="R315" s="3">
        <v>4</v>
      </c>
      <c r="S315" s="3">
        <v>1.3</v>
      </c>
      <c r="T315" s="3">
        <v>5</v>
      </c>
      <c r="U315" s="3">
        <v>-1</v>
      </c>
      <c r="V315" s="3">
        <v>1.3</v>
      </c>
      <c r="W315" s="3">
        <v>0.4</v>
      </c>
      <c r="X315" s="3">
        <v>1587</v>
      </c>
      <c r="Y315" s="3">
        <v>0.1</v>
      </c>
      <c r="Z315" s="3">
        <v>0</v>
      </c>
      <c r="CX315" s="9"/>
      <c r="DA315"/>
      <c r="DC315"/>
      <c r="DD315" s="1"/>
      <c r="DF315" s="1"/>
      <c r="DH315" s="1"/>
      <c r="DJ315" s="1"/>
      <c r="DL315" s="1"/>
      <c r="DN315" s="1"/>
      <c r="DP315" s="1"/>
    </row>
    <row r="316" spans="1:120">
      <c r="A316">
        <v>110979</v>
      </c>
      <c r="B316" s="1" t="s">
        <v>21</v>
      </c>
      <c r="C316" s="1" t="s">
        <v>436</v>
      </c>
      <c r="D316" s="1" t="str">
        <f>VLOOKUP( 14,Squads!A:E,5,0)</f>
        <v>LIV</v>
      </c>
      <c r="E316" s="1" t="str">
        <f>VLOOKUP( 3,$CX$2:$CY$5,2,0)</f>
        <v>MID</v>
      </c>
      <c r="F316" s="8">
        <v>6200000</v>
      </c>
      <c r="G316" s="1" t="s">
        <v>0</v>
      </c>
      <c r="H316" s="1">
        <v>6000000</v>
      </c>
      <c r="I316" s="1">
        <v>6000000</v>
      </c>
      <c r="J316" s="3">
        <v>6000000</v>
      </c>
      <c r="K316" s="3">
        <v>6200000</v>
      </c>
      <c r="L316" s="3">
        <v>10</v>
      </c>
      <c r="M316" s="3">
        <v>13</v>
      </c>
      <c r="N316" s="3">
        <v>8</v>
      </c>
      <c r="O316" s="3">
        <v>13</v>
      </c>
      <c r="P316" s="3">
        <v>4</v>
      </c>
      <c r="Q316" s="3">
        <v>5</v>
      </c>
      <c r="R316" s="3">
        <v>31</v>
      </c>
      <c r="S316" s="3">
        <v>6.2</v>
      </c>
      <c r="T316" s="3">
        <v>8</v>
      </c>
      <c r="U316" s="3">
        <v>3</v>
      </c>
      <c r="V316" s="3">
        <v>7</v>
      </c>
      <c r="W316" s="3">
        <v>6.2</v>
      </c>
      <c r="X316" s="3">
        <v>239815</v>
      </c>
      <c r="Y316" s="3">
        <v>21</v>
      </c>
      <c r="Z316" s="3">
        <v>0</v>
      </c>
      <c r="CX316" s="9"/>
      <c r="DA316"/>
      <c r="DC316"/>
      <c r="DD316" s="1"/>
      <c r="DF316" s="1"/>
      <c r="DH316" s="1"/>
      <c r="DJ316" s="1"/>
      <c r="DL316" s="1"/>
      <c r="DN316" s="1"/>
      <c r="DP316" s="1"/>
    </row>
    <row r="317" spans="1:120">
      <c r="A317">
        <v>111234</v>
      </c>
      <c r="B317" s="1" t="s">
        <v>132</v>
      </c>
      <c r="C317" s="1" t="s">
        <v>437</v>
      </c>
      <c r="D317" s="1" t="str">
        <f>VLOOKUP( 11,Squads!A:E,5,0)</f>
        <v>EVE</v>
      </c>
      <c r="E317" s="1" t="str">
        <f>VLOOKUP( 1,$CX$2:$CY$5,2,0)</f>
        <v>GK</v>
      </c>
      <c r="F317" s="8">
        <v>3100000</v>
      </c>
      <c r="G317" s="1" t="s">
        <v>0</v>
      </c>
      <c r="H317" s="1">
        <v>3000000</v>
      </c>
      <c r="I317" s="1">
        <v>3000000</v>
      </c>
      <c r="J317" s="3">
        <v>3000000</v>
      </c>
      <c r="K317" s="3">
        <v>3100000</v>
      </c>
      <c r="L317" s="3">
        <v>16</v>
      </c>
      <c r="M317" s="3">
        <v>6</v>
      </c>
      <c r="N317" s="3">
        <v>-1</v>
      </c>
      <c r="O317" s="3">
        <v>199</v>
      </c>
      <c r="P317" s="3">
        <v>20</v>
      </c>
      <c r="Q317" s="3">
        <v>5</v>
      </c>
      <c r="R317" s="3">
        <v>21</v>
      </c>
      <c r="S317" s="3">
        <v>4.2</v>
      </c>
      <c r="T317" s="3">
        <v>8</v>
      </c>
      <c r="U317" s="3">
        <v>-1</v>
      </c>
      <c r="V317" s="3">
        <v>1.7</v>
      </c>
      <c r="W317" s="3">
        <v>4.2</v>
      </c>
      <c r="X317" s="3">
        <v>212452</v>
      </c>
      <c r="Y317" s="3">
        <v>18.600000000000001</v>
      </c>
      <c r="Z317" s="3">
        <v>0</v>
      </c>
      <c r="CX317" s="9"/>
      <c r="DA317"/>
      <c r="DC317"/>
      <c r="DD317" s="1"/>
      <c r="DF317" s="1"/>
      <c r="DH317" s="1"/>
      <c r="DJ317" s="1"/>
      <c r="DL317" s="1"/>
      <c r="DN317" s="1"/>
      <c r="DP317" s="1"/>
    </row>
    <row r="318" spans="1:120">
      <c r="A318">
        <v>111457</v>
      </c>
      <c r="B318" s="1" t="s">
        <v>800</v>
      </c>
      <c r="C318" s="1" t="s">
        <v>801</v>
      </c>
      <c r="D318" s="1" t="str">
        <f>VLOOKUP( 3,Squads!A:E,5,0)</f>
        <v>ARS</v>
      </c>
      <c r="E318" s="1" t="str">
        <f>VLOOKUP( 2,$CX$2:$CY$5,2,0)</f>
        <v>DEF</v>
      </c>
      <c r="F318" s="8">
        <v>3500000</v>
      </c>
      <c r="G318" s="1" t="s">
        <v>0</v>
      </c>
      <c r="H318" s="1">
        <v>3500000</v>
      </c>
      <c r="I318" s="1">
        <v>3500000</v>
      </c>
      <c r="J318" s="3">
        <v>3500000</v>
      </c>
      <c r="K318" s="3">
        <v>3500000</v>
      </c>
      <c r="L318" s="3">
        <v>3</v>
      </c>
      <c r="M318" s="3">
        <v>0</v>
      </c>
      <c r="O318" s="3">
        <v>0</v>
      </c>
      <c r="P318" s="3">
        <v>178</v>
      </c>
      <c r="Q318" s="3">
        <v>2</v>
      </c>
      <c r="R318" s="3">
        <v>3</v>
      </c>
      <c r="S318" s="3">
        <v>1.5</v>
      </c>
      <c r="T318" s="3">
        <v>3</v>
      </c>
      <c r="U318" s="3">
        <v>0</v>
      </c>
      <c r="V318" s="3">
        <v>1.5</v>
      </c>
      <c r="W318" s="3">
        <v>1.5</v>
      </c>
      <c r="X318" s="3">
        <v>144178</v>
      </c>
      <c r="Y318" s="3">
        <v>12.6</v>
      </c>
      <c r="Z318" s="3">
        <v>0</v>
      </c>
      <c r="CX318" s="9"/>
      <c r="DA318"/>
      <c r="DC318"/>
      <c r="DD318" s="1"/>
      <c r="DF318" s="1"/>
      <c r="DH318" s="1"/>
      <c r="DJ318" s="1"/>
      <c r="DL318" s="1"/>
      <c r="DN318" s="1"/>
      <c r="DP318" s="1"/>
    </row>
    <row r="319" spans="1:120">
      <c r="A319">
        <v>112338</v>
      </c>
      <c r="B319" s="1" t="s">
        <v>194</v>
      </c>
      <c r="C319" s="1" t="s">
        <v>438</v>
      </c>
      <c r="D319" s="1" t="str">
        <f>VLOOKUP( 14,Squads!A:E,5,0)</f>
        <v>LIV</v>
      </c>
      <c r="E319" s="1" t="str">
        <f>VLOOKUP( 3,$CX$2:$CY$5,2,0)</f>
        <v>MID</v>
      </c>
      <c r="F319" s="8">
        <v>3800000</v>
      </c>
      <c r="G319" s="1" t="s">
        <v>0</v>
      </c>
      <c r="H319" s="1">
        <v>3500000</v>
      </c>
      <c r="I319" s="1">
        <v>3500000</v>
      </c>
      <c r="J319" s="3">
        <v>3500000</v>
      </c>
      <c r="K319" s="3">
        <v>3800000</v>
      </c>
      <c r="L319" s="3">
        <v>7</v>
      </c>
      <c r="M319" s="3">
        <v>13</v>
      </c>
      <c r="N319" s="3">
        <v>3</v>
      </c>
      <c r="O319" s="3">
        <v>71</v>
      </c>
      <c r="P319" s="3">
        <v>16</v>
      </c>
      <c r="Q319" s="3">
        <v>4</v>
      </c>
      <c r="R319" s="3">
        <v>23</v>
      </c>
      <c r="S319" s="3">
        <v>5.8</v>
      </c>
      <c r="T319" s="3">
        <v>13</v>
      </c>
      <c r="U319" s="3">
        <v>2</v>
      </c>
      <c r="V319" s="3">
        <v>6</v>
      </c>
      <c r="W319" s="3">
        <v>4.4000000000000004</v>
      </c>
      <c r="X319" s="3">
        <v>18660</v>
      </c>
      <c r="Y319" s="3">
        <v>1.6</v>
      </c>
      <c r="Z319" s="3">
        <v>0</v>
      </c>
      <c r="CX319" s="9"/>
      <c r="DA319"/>
      <c r="DC319"/>
      <c r="DD319" s="1"/>
      <c r="DF319" s="1"/>
      <c r="DH319" s="1"/>
      <c r="DJ319" s="1"/>
      <c r="DL319" s="1"/>
      <c r="DN319" s="1"/>
      <c r="DP319" s="1"/>
    </row>
    <row r="320" spans="1:120">
      <c r="A320">
        <v>113564</v>
      </c>
      <c r="B320" s="1" t="s">
        <v>319</v>
      </c>
      <c r="C320" s="1" t="s">
        <v>439</v>
      </c>
      <c r="D320" s="1" t="str">
        <f>VLOOKUP( 21,Squads!A:E,5,0)</f>
        <v>WHU</v>
      </c>
      <c r="E320" s="1" t="str">
        <f>VLOOKUP( 2,$CX$2:$CY$5,2,0)</f>
        <v>DEF</v>
      </c>
      <c r="F320" s="8">
        <v>1500000</v>
      </c>
      <c r="G320" s="1" t="s">
        <v>0</v>
      </c>
      <c r="H320" s="1">
        <v>1500000</v>
      </c>
      <c r="I320" s="1">
        <v>1500000</v>
      </c>
      <c r="J320" s="3">
        <v>1500000</v>
      </c>
      <c r="K320" s="3">
        <v>1500000</v>
      </c>
      <c r="M320" s="3">
        <v>8</v>
      </c>
      <c r="O320" s="3">
        <v>0</v>
      </c>
      <c r="P320" s="3">
        <v>103</v>
      </c>
      <c r="Q320" s="3">
        <v>1</v>
      </c>
      <c r="R320" s="3">
        <v>8</v>
      </c>
      <c r="S320" s="3">
        <v>8</v>
      </c>
      <c r="T320" s="3">
        <v>8</v>
      </c>
      <c r="U320" s="3">
        <v>8</v>
      </c>
      <c r="V320" s="3">
        <v>5</v>
      </c>
      <c r="W320" s="3">
        <v>1.8</v>
      </c>
      <c r="X320" s="3">
        <v>6153</v>
      </c>
      <c r="Y320" s="3">
        <v>0.5</v>
      </c>
      <c r="Z320" s="3">
        <v>0</v>
      </c>
      <c r="CX320" s="9"/>
      <c r="DA320"/>
      <c r="DC320"/>
      <c r="DD320" s="1"/>
      <c r="DF320" s="1"/>
      <c r="DH320" s="1"/>
      <c r="DJ320" s="1"/>
      <c r="DL320" s="1"/>
      <c r="DN320" s="1"/>
      <c r="DP320" s="1"/>
    </row>
    <row r="321" spans="1:120">
      <c r="A321">
        <v>114243</v>
      </c>
      <c r="B321" s="1" t="s">
        <v>997</v>
      </c>
      <c r="C321" s="1" t="s">
        <v>998</v>
      </c>
      <c r="D321" s="1" t="str">
        <f>VLOOKUP( 4,Squads!A:E,5,0)</f>
        <v>NEW</v>
      </c>
      <c r="E321" s="1" t="str">
        <f>VLOOKUP( 3,$CX$2:$CY$5,2,0)</f>
        <v>MID</v>
      </c>
      <c r="F321" s="8">
        <v>2300000</v>
      </c>
      <c r="G321" s="1" t="s">
        <v>0</v>
      </c>
      <c r="H321" s="1">
        <v>2500000</v>
      </c>
      <c r="I321" s="1">
        <v>2500000</v>
      </c>
      <c r="J321" s="3">
        <v>2500000</v>
      </c>
      <c r="K321" s="3">
        <v>2300000</v>
      </c>
      <c r="M321" s="3">
        <v>0</v>
      </c>
      <c r="N321" s="3">
        <v>0</v>
      </c>
      <c r="O321" s="3">
        <v>108</v>
      </c>
      <c r="P321" s="3">
        <v>218</v>
      </c>
      <c r="Q321" s="3">
        <v>3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875</v>
      </c>
      <c r="Y321" s="3">
        <v>0.1</v>
      </c>
      <c r="Z321" s="3">
        <v>0</v>
      </c>
      <c r="CX321" s="9"/>
      <c r="DA321"/>
      <c r="DC321"/>
      <c r="DD321" s="1"/>
      <c r="DF321" s="1"/>
      <c r="DH321" s="1"/>
      <c r="DJ321" s="1"/>
      <c r="DL321" s="1"/>
      <c r="DN321" s="1"/>
      <c r="DP321" s="1"/>
    </row>
    <row r="322" spans="1:120">
      <c r="A322">
        <v>115556</v>
      </c>
      <c r="B322" s="1" t="s">
        <v>211</v>
      </c>
      <c r="C322" s="1" t="s">
        <v>230</v>
      </c>
      <c r="D322" s="1" t="str">
        <f>VLOOKUP( 6,Squads!A:E,5,0)</f>
        <v>TOT</v>
      </c>
      <c r="E322" s="1" t="str">
        <f>VLOOKUP( 2,$CX$2:$CY$5,2,0)</f>
        <v>DEF</v>
      </c>
      <c r="F322" s="8">
        <v>3600000</v>
      </c>
      <c r="G322" s="1" t="s">
        <v>0</v>
      </c>
      <c r="H322" s="1">
        <v>3500000</v>
      </c>
      <c r="I322" s="1">
        <v>3500000</v>
      </c>
      <c r="J322" s="3">
        <v>3500000</v>
      </c>
      <c r="K322" s="3">
        <v>3600000</v>
      </c>
      <c r="L322" s="3">
        <v>12</v>
      </c>
      <c r="M322" s="3">
        <v>-1</v>
      </c>
      <c r="N322" s="3">
        <v>3</v>
      </c>
      <c r="O322" s="3">
        <v>71</v>
      </c>
      <c r="P322" s="3">
        <v>57</v>
      </c>
      <c r="Q322" s="3">
        <v>3</v>
      </c>
      <c r="R322" s="3">
        <v>14</v>
      </c>
      <c r="S322" s="3">
        <v>4.7</v>
      </c>
      <c r="T322" s="3">
        <v>12</v>
      </c>
      <c r="U322" s="3">
        <v>-1</v>
      </c>
      <c r="V322" s="3">
        <v>4.7</v>
      </c>
      <c r="W322" s="3">
        <v>5.4</v>
      </c>
      <c r="X322" s="3">
        <v>121152</v>
      </c>
      <c r="Y322" s="3">
        <v>10.6</v>
      </c>
      <c r="Z322" s="3">
        <v>0</v>
      </c>
      <c r="CX322" s="9"/>
      <c r="DA322"/>
      <c r="DC322"/>
      <c r="DD322" s="1"/>
      <c r="DF322" s="1"/>
      <c r="DH322" s="1"/>
      <c r="DJ322" s="1"/>
      <c r="DL322" s="1"/>
      <c r="DN322" s="1"/>
      <c r="DP322" s="1"/>
    </row>
    <row r="323" spans="1:120">
      <c r="A323">
        <v>116594</v>
      </c>
      <c r="B323" s="1" t="s">
        <v>70</v>
      </c>
      <c r="C323" s="1" t="s">
        <v>440</v>
      </c>
      <c r="D323" s="1" t="str">
        <f>VLOOKUP( 8,Squads!A:E,5,0)</f>
        <v>CHE</v>
      </c>
      <c r="E323" s="1" t="str">
        <f>VLOOKUP( 3,$CX$2:$CY$5,2,0)</f>
        <v>MID</v>
      </c>
      <c r="F323" s="8">
        <v>3400000</v>
      </c>
      <c r="G323" s="1" t="s">
        <v>0</v>
      </c>
      <c r="H323" s="1">
        <v>3500000</v>
      </c>
      <c r="I323" s="1">
        <v>3500000</v>
      </c>
      <c r="J323" s="3">
        <v>3500000</v>
      </c>
      <c r="K323" s="3">
        <v>3400000</v>
      </c>
      <c r="L323" s="3">
        <v>0</v>
      </c>
      <c r="M323" s="3">
        <v>3</v>
      </c>
      <c r="N323" s="3">
        <v>3</v>
      </c>
      <c r="O323" s="3">
        <v>71</v>
      </c>
      <c r="P323" s="3">
        <v>139</v>
      </c>
      <c r="Q323" s="3">
        <v>3</v>
      </c>
      <c r="R323" s="3">
        <v>6</v>
      </c>
      <c r="S323" s="3">
        <v>2</v>
      </c>
      <c r="T323" s="3">
        <v>3</v>
      </c>
      <c r="U323" s="3">
        <v>0</v>
      </c>
      <c r="V323" s="3">
        <v>2</v>
      </c>
      <c r="W323" s="3">
        <v>1.4</v>
      </c>
      <c r="X323" s="3">
        <v>112251</v>
      </c>
      <c r="Y323" s="3">
        <v>9.8000000000000007</v>
      </c>
      <c r="Z323" s="3">
        <v>0</v>
      </c>
      <c r="CX323" s="9"/>
      <c r="DA323"/>
      <c r="DC323"/>
      <c r="DD323" s="1"/>
      <c r="DF323" s="1"/>
      <c r="DH323" s="1"/>
      <c r="DJ323" s="1"/>
      <c r="DL323" s="1"/>
      <c r="DN323" s="1"/>
      <c r="DP323" s="1"/>
    </row>
    <row r="324" spans="1:120">
      <c r="A324">
        <v>118748</v>
      </c>
      <c r="B324" s="1" t="s">
        <v>601</v>
      </c>
      <c r="C324" s="1" t="s">
        <v>802</v>
      </c>
      <c r="D324" s="1" t="str">
        <f>VLOOKUP( 14,Squads!A:E,5,0)</f>
        <v>LIV</v>
      </c>
      <c r="E324" s="1" t="str">
        <f>VLOOKUP( 3,$CX$2:$CY$5,2,0)</f>
        <v>MID</v>
      </c>
      <c r="F324" s="8">
        <v>4300000</v>
      </c>
      <c r="G324" s="1" t="s">
        <v>0</v>
      </c>
      <c r="H324" s="1">
        <v>4000000</v>
      </c>
      <c r="I324" s="1">
        <v>4000000</v>
      </c>
      <c r="J324" s="3">
        <v>4000000</v>
      </c>
      <c r="K324" s="3">
        <v>4300000</v>
      </c>
      <c r="L324" s="3">
        <v>10</v>
      </c>
      <c r="M324" s="3">
        <v>8</v>
      </c>
      <c r="N324" s="3">
        <v>15</v>
      </c>
      <c r="O324" s="3">
        <v>1</v>
      </c>
      <c r="P324" s="3">
        <v>3</v>
      </c>
      <c r="Q324" s="3">
        <v>5</v>
      </c>
      <c r="R324" s="3">
        <v>33</v>
      </c>
      <c r="S324" s="3">
        <v>6.6</v>
      </c>
      <c r="T324" s="3">
        <v>15</v>
      </c>
      <c r="U324" s="3">
        <v>0</v>
      </c>
      <c r="V324" s="3">
        <v>7.7</v>
      </c>
      <c r="W324" s="3">
        <v>6.6</v>
      </c>
      <c r="X324" s="3">
        <v>321184</v>
      </c>
      <c r="Y324" s="3">
        <v>28.2</v>
      </c>
      <c r="Z324" s="3">
        <v>0</v>
      </c>
      <c r="CX324" s="9"/>
      <c r="DA324"/>
      <c r="DC324"/>
      <c r="DD324" s="1"/>
      <c r="DF324" s="1"/>
      <c r="DH324" s="1"/>
      <c r="DJ324" s="1"/>
      <c r="DL324" s="1"/>
      <c r="DN324" s="1"/>
      <c r="DP324" s="1"/>
    </row>
    <row r="325" spans="1:120">
      <c r="A325">
        <v>121160</v>
      </c>
      <c r="C325" s="1" t="s">
        <v>803</v>
      </c>
      <c r="D325" s="1" t="str">
        <f>VLOOKUP( 43,Squads!A:E,5,0)</f>
        <v>MCI</v>
      </c>
      <c r="E325" s="1" t="str">
        <f>VLOOKUP( 1,$CX$2:$CY$5,2,0)</f>
        <v>GK</v>
      </c>
      <c r="F325" s="8">
        <v>3800000</v>
      </c>
      <c r="G325" s="1" t="s">
        <v>0</v>
      </c>
      <c r="H325" s="1">
        <v>4000000</v>
      </c>
      <c r="I325" s="1">
        <v>4000000</v>
      </c>
      <c r="J325" s="3">
        <v>4000000</v>
      </c>
      <c r="K325" s="3">
        <v>3800000</v>
      </c>
      <c r="L325" s="3">
        <v>5</v>
      </c>
      <c r="M325" s="3">
        <v>0</v>
      </c>
      <c r="N325" s="3">
        <v>0</v>
      </c>
      <c r="O325" s="3">
        <v>108</v>
      </c>
      <c r="P325" s="3">
        <v>155</v>
      </c>
      <c r="Q325" s="3">
        <v>3</v>
      </c>
      <c r="R325" s="3">
        <v>5</v>
      </c>
      <c r="S325" s="3">
        <v>1.7</v>
      </c>
      <c r="T325" s="3">
        <v>5</v>
      </c>
      <c r="U325" s="3">
        <v>0</v>
      </c>
      <c r="V325" s="3">
        <v>1.7</v>
      </c>
      <c r="W325" s="3">
        <v>1.7</v>
      </c>
      <c r="X325" s="3">
        <v>53142</v>
      </c>
      <c r="Y325" s="3">
        <v>4.7</v>
      </c>
      <c r="Z325" s="3">
        <v>0</v>
      </c>
      <c r="CX325" s="9"/>
      <c r="DA325"/>
      <c r="DC325"/>
      <c r="DD325" s="1"/>
      <c r="DF325" s="1"/>
      <c r="DH325" s="1"/>
      <c r="DJ325" s="1"/>
      <c r="DL325" s="1"/>
      <c r="DN325" s="1"/>
      <c r="DP325" s="1"/>
    </row>
    <row r="326" spans="1:120">
      <c r="A326">
        <v>121221</v>
      </c>
      <c r="B326" s="1" t="s">
        <v>216</v>
      </c>
      <c r="C326" s="1" t="s">
        <v>217</v>
      </c>
      <c r="D326" s="1" t="str">
        <f>VLOOKUP( 11,Squads!A:E,5,0)</f>
        <v>EVE</v>
      </c>
      <c r="E326" s="1" t="str">
        <f>VLOOKUP( 2,$CX$2:$CY$5,2,0)</f>
        <v>DEF</v>
      </c>
      <c r="F326" s="8">
        <v>3000000</v>
      </c>
      <c r="G326" s="1" t="s">
        <v>1011</v>
      </c>
      <c r="H326" s="1">
        <v>3000000</v>
      </c>
      <c r="I326" s="1">
        <v>3000000</v>
      </c>
      <c r="J326" s="3">
        <v>3000000</v>
      </c>
      <c r="K326" s="3">
        <v>3000000</v>
      </c>
      <c r="O326" s="3">
        <v>0</v>
      </c>
      <c r="P326" s="3">
        <v>218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-0.7</v>
      </c>
      <c r="W326" s="3">
        <v>0.8</v>
      </c>
      <c r="X326" s="3">
        <v>1013</v>
      </c>
      <c r="Y326" s="3">
        <v>0.1</v>
      </c>
      <c r="Z326" s="3">
        <v>0</v>
      </c>
      <c r="CX326" s="9"/>
      <c r="DA326"/>
      <c r="DC326"/>
      <c r="DD326" s="1"/>
      <c r="DF326" s="1"/>
      <c r="DH326" s="1"/>
      <c r="DJ326" s="1"/>
      <c r="DL326" s="1"/>
      <c r="DN326" s="1"/>
      <c r="DP326" s="1"/>
    </row>
    <row r="327" spans="1:120">
      <c r="A327">
        <v>122798</v>
      </c>
      <c r="B327" s="1" t="s">
        <v>337</v>
      </c>
      <c r="C327" s="1" t="s">
        <v>999</v>
      </c>
      <c r="D327" s="1" t="str">
        <f>VLOOKUP( 14,Squads!A:E,5,0)</f>
        <v>LIV</v>
      </c>
      <c r="E327" s="1" t="str">
        <f>VLOOKUP( 2,$CX$2:$CY$5,2,0)</f>
        <v>DEF</v>
      </c>
      <c r="F327" s="8">
        <v>2500000</v>
      </c>
      <c r="G327" s="1" t="s">
        <v>0</v>
      </c>
      <c r="H327" s="1">
        <v>2500000</v>
      </c>
      <c r="I327" s="1">
        <v>2500000</v>
      </c>
      <c r="J327" s="3">
        <v>2500000</v>
      </c>
      <c r="K327" s="3">
        <v>2500000</v>
      </c>
      <c r="M327" s="3">
        <v>8</v>
      </c>
      <c r="O327" s="3">
        <v>0</v>
      </c>
      <c r="P327" s="3">
        <v>103</v>
      </c>
      <c r="Q327" s="3">
        <v>1</v>
      </c>
      <c r="R327" s="3">
        <v>8</v>
      </c>
      <c r="S327" s="3">
        <v>8</v>
      </c>
      <c r="T327" s="3">
        <v>8</v>
      </c>
      <c r="U327" s="3">
        <v>8</v>
      </c>
      <c r="V327" s="3">
        <v>5</v>
      </c>
      <c r="W327" s="3">
        <v>1.2</v>
      </c>
      <c r="X327" s="3">
        <v>31817</v>
      </c>
      <c r="Y327" s="3">
        <v>2.8</v>
      </c>
      <c r="Z327" s="3">
        <v>0</v>
      </c>
      <c r="CX327" s="9"/>
      <c r="DA327"/>
      <c r="DC327"/>
      <c r="DD327" s="1"/>
      <c r="DF327" s="1"/>
      <c r="DH327" s="1"/>
      <c r="DJ327" s="1"/>
      <c r="DL327" s="1"/>
      <c r="DN327" s="1"/>
      <c r="DP327" s="1"/>
    </row>
    <row r="328" spans="1:120">
      <c r="A328">
        <v>126184</v>
      </c>
      <c r="B328" s="1" t="s">
        <v>183</v>
      </c>
      <c r="C328" s="1" t="s">
        <v>322</v>
      </c>
      <c r="D328" s="1" t="str">
        <f>VLOOKUP( 91,Squads!A:E,5,0)</f>
        <v>BOU</v>
      </c>
      <c r="E328" s="1" t="str">
        <f>VLOOKUP( 2,$CX$2:$CY$5,2,0)</f>
        <v>DEF</v>
      </c>
      <c r="F328" s="8">
        <v>3200000</v>
      </c>
      <c r="G328" s="1" t="s">
        <v>0</v>
      </c>
      <c r="H328" s="1">
        <v>3500000</v>
      </c>
      <c r="I328" s="1">
        <v>3500000</v>
      </c>
      <c r="J328" s="3">
        <v>3500000</v>
      </c>
      <c r="K328" s="3">
        <v>3200000</v>
      </c>
      <c r="L328" s="3">
        <v>3</v>
      </c>
      <c r="M328" s="3">
        <v>-1</v>
      </c>
      <c r="N328" s="3">
        <v>-2</v>
      </c>
      <c r="O328" s="3">
        <v>226</v>
      </c>
      <c r="P328" s="3">
        <v>218</v>
      </c>
      <c r="Q328" s="3">
        <v>3</v>
      </c>
      <c r="R328" s="3">
        <v>0</v>
      </c>
      <c r="S328" s="3">
        <v>0</v>
      </c>
      <c r="T328" s="3">
        <v>3</v>
      </c>
      <c r="U328" s="3">
        <v>-2</v>
      </c>
      <c r="V328" s="3">
        <v>0</v>
      </c>
      <c r="W328" s="3">
        <v>-0.2</v>
      </c>
      <c r="X328" s="3">
        <v>35990</v>
      </c>
      <c r="Y328" s="3">
        <v>3.2</v>
      </c>
      <c r="Z328" s="3">
        <v>0</v>
      </c>
      <c r="CX328" s="9"/>
      <c r="DA328"/>
      <c r="DC328"/>
      <c r="DD328" s="1"/>
      <c r="DF328" s="1"/>
      <c r="DH328" s="1"/>
      <c r="DJ328" s="1"/>
      <c r="DL328" s="1"/>
      <c r="DN328" s="1"/>
      <c r="DP328" s="1"/>
    </row>
    <row r="329" spans="1:120">
      <c r="A329">
        <v>126187</v>
      </c>
      <c r="B329" s="1" t="s">
        <v>304</v>
      </c>
      <c r="C329" s="1" t="s">
        <v>305</v>
      </c>
      <c r="D329" s="1" t="str">
        <f>VLOOKUP( 31,Squads!A:E,5,0)</f>
        <v>CRY</v>
      </c>
      <c r="E329" s="1" t="str">
        <f>VLOOKUP( 3,$CX$2:$CY$5,2,0)</f>
        <v>MID</v>
      </c>
      <c r="F329" s="8">
        <v>1500000</v>
      </c>
      <c r="G329" s="1" t="s">
        <v>1011</v>
      </c>
      <c r="H329" s="1">
        <v>1500000</v>
      </c>
      <c r="I329" s="1">
        <v>1500000</v>
      </c>
      <c r="J329" s="3">
        <v>1500000</v>
      </c>
      <c r="K329" s="3">
        <v>1500000</v>
      </c>
      <c r="L329" s="3">
        <v>3</v>
      </c>
      <c r="M329" s="3">
        <v>3</v>
      </c>
      <c r="O329" s="3">
        <v>0</v>
      </c>
      <c r="P329" s="3">
        <v>139</v>
      </c>
      <c r="Q329" s="3">
        <v>2</v>
      </c>
      <c r="R329" s="3">
        <v>6</v>
      </c>
      <c r="S329" s="3">
        <v>3</v>
      </c>
      <c r="T329" s="3">
        <v>3</v>
      </c>
      <c r="U329" s="3">
        <v>3</v>
      </c>
      <c r="V329" s="3">
        <v>3</v>
      </c>
      <c r="W329" s="3">
        <v>1.8</v>
      </c>
      <c r="X329" s="3">
        <v>8268</v>
      </c>
      <c r="Y329" s="3">
        <v>0.7</v>
      </c>
      <c r="Z329" s="3">
        <v>0</v>
      </c>
      <c r="CX329" s="9"/>
      <c r="DC329"/>
      <c r="DD329" s="1"/>
      <c r="DF329" s="1"/>
      <c r="DH329" s="1"/>
      <c r="DJ329" s="1"/>
      <c r="DL329" s="1"/>
      <c r="DN329" s="1"/>
      <c r="DP329" s="1"/>
    </row>
    <row r="330" spans="1:120">
      <c r="A330">
        <v>128198</v>
      </c>
      <c r="B330" s="1" t="s">
        <v>162</v>
      </c>
      <c r="C330" s="1" t="s">
        <v>483</v>
      </c>
      <c r="D330" s="1" t="str">
        <f>VLOOKUP( 20,Squads!A:E,5,0)</f>
        <v>SOU</v>
      </c>
      <c r="E330" s="1" t="str">
        <f>VLOOKUP( 3,$CX$2:$CY$5,2,0)</f>
        <v>MID</v>
      </c>
      <c r="F330" s="8">
        <v>1500000</v>
      </c>
      <c r="G330" s="1" t="s">
        <v>0</v>
      </c>
      <c r="H330" s="1">
        <v>1500000</v>
      </c>
      <c r="I330" s="1">
        <v>1500000</v>
      </c>
      <c r="J330" s="3">
        <v>1500000</v>
      </c>
      <c r="K330" s="3">
        <v>1500000</v>
      </c>
      <c r="L330" s="3">
        <v>0</v>
      </c>
      <c r="M330" s="3">
        <v>0</v>
      </c>
      <c r="O330" s="3">
        <v>0</v>
      </c>
      <c r="P330" s="3">
        <v>218</v>
      </c>
      <c r="Q330" s="3">
        <v>2</v>
      </c>
      <c r="R330" s="3">
        <v>0</v>
      </c>
      <c r="S330" s="3">
        <v>0</v>
      </c>
      <c r="T330" s="3">
        <v>0</v>
      </c>
      <c r="U330" s="3">
        <v>0</v>
      </c>
      <c r="V330" s="3">
        <v>0.7</v>
      </c>
      <c r="W330" s="3">
        <v>1</v>
      </c>
      <c r="X330" s="3">
        <v>915</v>
      </c>
      <c r="Y330" s="3">
        <v>0.1</v>
      </c>
      <c r="Z330" s="3">
        <v>0</v>
      </c>
      <c r="CX330" s="9"/>
      <c r="DC330"/>
      <c r="DD330" s="1"/>
      <c r="DF330" s="1"/>
      <c r="DH330" s="1"/>
      <c r="DJ330" s="1"/>
      <c r="DL330" s="1"/>
      <c r="DN330" s="1"/>
      <c r="DP330" s="1"/>
    </row>
    <row r="331" spans="1:120">
      <c r="A331">
        <v>128389</v>
      </c>
      <c r="B331" s="1" t="s">
        <v>218</v>
      </c>
      <c r="C331" s="1" t="s">
        <v>1007</v>
      </c>
      <c r="D331" s="1" t="str">
        <f>VLOOKUP( 4,Squads!A:E,5,0)</f>
        <v>NEW</v>
      </c>
      <c r="E331" s="1" t="str">
        <f>VLOOKUP( 4,$CX$2:$CY$5,2,0)</f>
        <v>STR</v>
      </c>
      <c r="F331" s="8">
        <v>2300000</v>
      </c>
      <c r="G331" s="1" t="s">
        <v>0</v>
      </c>
      <c r="H331" s="1">
        <v>2000000</v>
      </c>
      <c r="I331" s="1">
        <v>2000000</v>
      </c>
      <c r="J331" s="3">
        <v>2000000</v>
      </c>
      <c r="K331" s="3">
        <v>2300000</v>
      </c>
      <c r="M331" s="3">
        <v>5</v>
      </c>
      <c r="N331" s="3">
        <v>8</v>
      </c>
      <c r="O331" s="3">
        <v>13</v>
      </c>
      <c r="P331" s="3">
        <v>64</v>
      </c>
      <c r="Q331" s="3">
        <v>2</v>
      </c>
      <c r="R331" s="3">
        <v>13</v>
      </c>
      <c r="S331" s="3">
        <v>6.5</v>
      </c>
      <c r="T331" s="3">
        <v>8</v>
      </c>
      <c r="U331" s="3">
        <v>5</v>
      </c>
      <c r="V331" s="3">
        <v>6.5</v>
      </c>
      <c r="W331" s="3">
        <v>6.5</v>
      </c>
      <c r="X331" s="3">
        <v>660</v>
      </c>
      <c r="Y331" s="3">
        <v>0.1</v>
      </c>
      <c r="Z331" s="3">
        <v>0</v>
      </c>
      <c r="CX331" s="9"/>
      <c r="DC331"/>
      <c r="DD331" s="1"/>
      <c r="DF331" s="1"/>
      <c r="DH331" s="1"/>
      <c r="DJ331" s="1"/>
      <c r="DL331" s="1"/>
      <c r="DN331" s="1"/>
      <c r="DP331" s="1"/>
    </row>
    <row r="332" spans="1:120">
      <c r="A332">
        <v>131897</v>
      </c>
      <c r="B332" s="1" t="s">
        <v>804</v>
      </c>
      <c r="C332" s="1" t="s">
        <v>85</v>
      </c>
      <c r="D332" s="1" t="str">
        <f>VLOOKUP( 36,Squads!A:E,5,0)</f>
        <v>BHA</v>
      </c>
      <c r="E332" s="1" t="str">
        <f>VLOOKUP( 1,$CX$2:$CY$5,2,0)</f>
        <v>GK</v>
      </c>
      <c r="F332" s="8">
        <v>2500000</v>
      </c>
      <c r="G332" s="1" t="s">
        <v>0</v>
      </c>
      <c r="H332" s="1">
        <v>2500000</v>
      </c>
      <c r="I332" s="1">
        <v>2500000</v>
      </c>
      <c r="J332" s="3">
        <v>2500000</v>
      </c>
      <c r="K332" s="3">
        <v>2500000</v>
      </c>
      <c r="L332" s="3">
        <v>-1</v>
      </c>
      <c r="M332" s="3">
        <v>-1</v>
      </c>
      <c r="N332" s="3">
        <v>5</v>
      </c>
      <c r="O332" s="3">
        <v>48</v>
      </c>
      <c r="P332" s="3">
        <v>178</v>
      </c>
      <c r="Q332" s="3">
        <v>3</v>
      </c>
      <c r="R332" s="3">
        <v>3</v>
      </c>
      <c r="S332" s="3">
        <v>1</v>
      </c>
      <c r="T332" s="3">
        <v>5</v>
      </c>
      <c r="U332" s="3">
        <v>-1</v>
      </c>
      <c r="V332" s="3">
        <v>1</v>
      </c>
      <c r="W332" s="3">
        <v>1</v>
      </c>
      <c r="X332" s="3">
        <v>958</v>
      </c>
      <c r="Y332" s="3">
        <v>0.1</v>
      </c>
      <c r="Z332" s="3">
        <v>0</v>
      </c>
      <c r="CX332" s="9"/>
      <c r="DC332"/>
      <c r="DD332" s="1"/>
      <c r="DF332" s="1"/>
      <c r="DH332" s="1"/>
      <c r="DJ332" s="1"/>
      <c r="DL332" s="1"/>
      <c r="DN332" s="1"/>
      <c r="DP332" s="1"/>
    </row>
    <row r="333" spans="1:120">
      <c r="A333">
        <v>132015</v>
      </c>
      <c r="B333" s="1" t="s">
        <v>281</v>
      </c>
      <c r="C333" s="1" t="s">
        <v>282</v>
      </c>
      <c r="D333" s="1" t="str">
        <f>VLOOKUP( 20,Squads!A:E,5,0)</f>
        <v>SOU</v>
      </c>
      <c r="E333" s="1" t="str">
        <f>VLOOKUP( 3,$CX$2:$CY$5,2,0)</f>
        <v>MID</v>
      </c>
      <c r="F333" s="8">
        <v>1500000</v>
      </c>
      <c r="G333" s="1" t="s">
        <v>0</v>
      </c>
      <c r="H333" s="1">
        <v>1500000</v>
      </c>
      <c r="I333" s="1">
        <v>1500000</v>
      </c>
      <c r="J333" s="3">
        <v>1500000</v>
      </c>
      <c r="K333" s="3">
        <v>1500000</v>
      </c>
      <c r="O333" s="3">
        <v>0</v>
      </c>
      <c r="P333" s="3">
        <v>218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3</v>
      </c>
      <c r="W333" s="3">
        <v>1.8</v>
      </c>
      <c r="X333" s="3">
        <v>336</v>
      </c>
      <c r="Y333" s="3">
        <v>0</v>
      </c>
      <c r="Z333" s="3">
        <v>0</v>
      </c>
      <c r="CX333" s="9"/>
      <c r="DC333"/>
      <c r="DD333" s="1"/>
      <c r="DF333" s="1"/>
      <c r="DH333" s="1"/>
      <c r="DJ333" s="1"/>
      <c r="DL333" s="1"/>
      <c r="DN333" s="1"/>
      <c r="DP333" s="1"/>
    </row>
    <row r="334" spans="1:120">
      <c r="A334">
        <v>147303</v>
      </c>
      <c r="B334" s="1" t="s">
        <v>50</v>
      </c>
      <c r="C334" s="1" t="s">
        <v>974</v>
      </c>
      <c r="D334" s="1" t="str">
        <f>VLOOKUP( 38,Squads!A:E,5,0)</f>
        <v>HUD</v>
      </c>
      <c r="E334" s="1" t="str">
        <f>VLOOKUP( 4,$CX$2:$CY$5,2,0)</f>
        <v>STR</v>
      </c>
      <c r="F334" s="8">
        <v>2000000</v>
      </c>
      <c r="G334" s="1" t="s">
        <v>0</v>
      </c>
      <c r="H334" s="1">
        <v>2000000</v>
      </c>
      <c r="I334" s="1">
        <v>2000000</v>
      </c>
      <c r="J334" s="3">
        <v>2000000</v>
      </c>
      <c r="K334" s="3">
        <v>2000000</v>
      </c>
      <c r="M334" s="3">
        <v>0</v>
      </c>
      <c r="O334" s="3">
        <v>0</v>
      </c>
      <c r="P334" s="3">
        <v>218</v>
      </c>
      <c r="Q334" s="3">
        <v>1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960</v>
      </c>
      <c r="Y334" s="3">
        <v>0.1</v>
      </c>
      <c r="Z334" s="3">
        <v>0</v>
      </c>
      <c r="CX334" s="9"/>
      <c r="DC334"/>
      <c r="DD334" s="1"/>
      <c r="DF334" s="1"/>
      <c r="DH334" s="1"/>
      <c r="DJ334" s="1"/>
      <c r="DL334" s="1"/>
      <c r="DN334" s="1"/>
      <c r="DP334" s="1"/>
    </row>
    <row r="335" spans="1:120">
      <c r="A335">
        <v>148179</v>
      </c>
      <c r="B335" s="1" t="s">
        <v>300</v>
      </c>
      <c r="C335" s="1" t="s">
        <v>401</v>
      </c>
      <c r="D335" s="1" t="str">
        <f>VLOOKUP( 11,Squads!A:E,5,0)</f>
        <v>EVE</v>
      </c>
      <c r="E335" s="1" t="str">
        <f>VLOOKUP( 4,$CX$2:$CY$5,2,0)</f>
        <v>STR</v>
      </c>
      <c r="F335" s="8">
        <v>2000000</v>
      </c>
      <c r="G335" s="1" t="s">
        <v>978</v>
      </c>
      <c r="H335" s="1">
        <v>2000000</v>
      </c>
      <c r="I335" s="1">
        <v>2000000</v>
      </c>
      <c r="J335" s="3">
        <v>2000000</v>
      </c>
      <c r="K335" s="3">
        <v>2000000</v>
      </c>
      <c r="O335" s="3">
        <v>0</v>
      </c>
      <c r="P335" s="3">
        <v>218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>
        <v>0</v>
      </c>
      <c r="X335" s="3">
        <v>476</v>
      </c>
      <c r="Y335" s="3">
        <v>0</v>
      </c>
      <c r="Z335" s="3">
        <v>0</v>
      </c>
      <c r="CX335" s="9"/>
      <c r="DC335"/>
      <c r="DD335" s="1"/>
      <c r="DF335" s="1"/>
      <c r="DH335" s="1"/>
      <c r="DJ335" s="1"/>
      <c r="DL335" s="1"/>
      <c r="DN335" s="1"/>
      <c r="DP335" s="1"/>
    </row>
    <row r="336" spans="1:120">
      <c r="A336">
        <v>148225</v>
      </c>
      <c r="B336" s="1" t="s">
        <v>32</v>
      </c>
      <c r="C336" s="1" t="s">
        <v>33</v>
      </c>
      <c r="D336" s="1" t="str">
        <f>VLOOKUP( 1,Squads!A:E,5,0)</f>
        <v>MUN</v>
      </c>
      <c r="E336" s="1" t="str">
        <f>VLOOKUP( 4,$CX$2:$CY$5,2,0)</f>
        <v>STR</v>
      </c>
      <c r="F336" s="8">
        <v>3300000</v>
      </c>
      <c r="G336" s="1" t="s">
        <v>0</v>
      </c>
      <c r="H336" s="1">
        <v>3000000</v>
      </c>
      <c r="I336" s="1">
        <v>3000000</v>
      </c>
      <c r="J336" s="3">
        <v>3000000</v>
      </c>
      <c r="K336" s="3">
        <v>3300000</v>
      </c>
      <c r="L336" s="3">
        <v>10</v>
      </c>
      <c r="M336" s="3">
        <v>8</v>
      </c>
      <c r="N336" s="3">
        <v>3</v>
      </c>
      <c r="O336" s="3">
        <v>71</v>
      </c>
      <c r="P336" s="3">
        <v>20</v>
      </c>
      <c r="Q336" s="3">
        <v>3</v>
      </c>
      <c r="R336" s="3">
        <v>21</v>
      </c>
      <c r="S336" s="3">
        <v>7</v>
      </c>
      <c r="T336" s="3">
        <v>10</v>
      </c>
      <c r="U336" s="3">
        <v>3</v>
      </c>
      <c r="V336" s="3">
        <v>7</v>
      </c>
      <c r="W336" s="3">
        <v>5.2</v>
      </c>
      <c r="X336" s="3">
        <v>52501</v>
      </c>
      <c r="Y336" s="3">
        <v>4.5999999999999996</v>
      </c>
      <c r="Z336" s="3">
        <v>0</v>
      </c>
      <c r="CX336" s="9"/>
      <c r="DC336"/>
      <c r="DD336" s="1"/>
      <c r="DF336" s="1"/>
      <c r="DH336" s="1"/>
      <c r="DJ336" s="1"/>
      <c r="DL336" s="1"/>
      <c r="DN336" s="1"/>
      <c r="DP336" s="1"/>
    </row>
    <row r="337" spans="1:208">
      <c r="A337">
        <v>149266</v>
      </c>
      <c r="B337" s="1" t="s">
        <v>465</v>
      </c>
      <c r="C337" s="1" t="s">
        <v>607</v>
      </c>
      <c r="D337" s="1" t="str">
        <f>VLOOKUP( 80,Squads!A:E,5,0)</f>
        <v>SWA</v>
      </c>
      <c r="E337" s="1" t="str">
        <f>VLOOKUP( 2,$CX$2:$CY$5,2,0)</f>
        <v>DEF</v>
      </c>
      <c r="F337" s="8">
        <v>3000000</v>
      </c>
      <c r="G337" s="1" t="s">
        <v>0</v>
      </c>
      <c r="H337" s="1">
        <v>3000000</v>
      </c>
      <c r="I337" s="1">
        <v>3000000</v>
      </c>
      <c r="J337" s="3">
        <v>3000000</v>
      </c>
      <c r="K337" s="3">
        <v>3000000</v>
      </c>
      <c r="L337" s="3">
        <v>8</v>
      </c>
      <c r="M337" s="3">
        <v>-3</v>
      </c>
      <c r="N337" s="3">
        <v>5</v>
      </c>
      <c r="O337" s="3">
        <v>48</v>
      </c>
      <c r="P337" s="3">
        <v>87</v>
      </c>
      <c r="Q337" s="3">
        <v>4</v>
      </c>
      <c r="R337" s="3">
        <v>10</v>
      </c>
      <c r="S337" s="3">
        <v>2.5</v>
      </c>
      <c r="T337" s="3">
        <v>8</v>
      </c>
      <c r="U337" s="3">
        <v>-3</v>
      </c>
      <c r="V337" s="3">
        <v>0.7</v>
      </c>
      <c r="W337" s="3">
        <v>1.8</v>
      </c>
      <c r="X337" s="3">
        <v>13074</v>
      </c>
      <c r="Y337" s="3">
        <v>1.1000000000000001</v>
      </c>
      <c r="Z337" s="3">
        <v>0</v>
      </c>
      <c r="CX337" s="9"/>
      <c r="DC337"/>
      <c r="DD337" s="1"/>
      <c r="DF337" s="1"/>
      <c r="DH337" s="1"/>
      <c r="DJ337" s="1"/>
      <c r="DL337" s="1"/>
      <c r="DN337" s="1"/>
      <c r="DP337" s="1"/>
      <c r="GZ337" s="2"/>
    </row>
    <row r="338" spans="1:208">
      <c r="A338">
        <v>149828</v>
      </c>
      <c r="B338" s="1" t="s">
        <v>484</v>
      </c>
      <c r="C338" s="1" t="s">
        <v>485</v>
      </c>
      <c r="D338" s="1" t="str">
        <f>VLOOKUP( 13,Squads!A:E,5,0)</f>
        <v>LEI</v>
      </c>
      <c r="E338" s="1" t="str">
        <f>VLOOKUP( 4,$CX$2:$CY$5,2,0)</f>
        <v>STR</v>
      </c>
      <c r="F338" s="8">
        <v>3600000</v>
      </c>
      <c r="G338" s="1" t="s">
        <v>0</v>
      </c>
      <c r="H338" s="1">
        <v>3500000</v>
      </c>
      <c r="I338" s="1">
        <v>3500000</v>
      </c>
      <c r="J338" s="3">
        <v>3500000</v>
      </c>
      <c r="K338" s="3">
        <v>3600000</v>
      </c>
      <c r="M338" s="3">
        <v>12</v>
      </c>
      <c r="N338" s="3">
        <v>0</v>
      </c>
      <c r="O338" s="3">
        <v>108</v>
      </c>
      <c r="P338" s="3">
        <v>71</v>
      </c>
      <c r="Q338" s="3">
        <v>3</v>
      </c>
      <c r="R338" s="3">
        <v>12</v>
      </c>
      <c r="S338" s="3">
        <v>4</v>
      </c>
      <c r="T338" s="3">
        <v>12</v>
      </c>
      <c r="U338" s="3">
        <v>0</v>
      </c>
      <c r="V338" s="3">
        <v>4</v>
      </c>
      <c r="W338" s="3">
        <v>3.8</v>
      </c>
      <c r="X338" s="3">
        <v>654</v>
      </c>
      <c r="Y338" s="3">
        <v>0.1</v>
      </c>
      <c r="Z338" s="3">
        <v>0</v>
      </c>
      <c r="CX338" s="9"/>
      <c r="DC338"/>
      <c r="DD338" s="1"/>
      <c r="DF338" s="1"/>
      <c r="DH338" s="1"/>
      <c r="DJ338" s="1"/>
      <c r="DL338" s="1"/>
      <c r="DN338" s="1"/>
      <c r="DP338" s="1"/>
    </row>
    <row r="339" spans="1:208">
      <c r="A339">
        <v>151119</v>
      </c>
      <c r="B339" s="1" t="s">
        <v>1329</v>
      </c>
      <c r="C339" s="1" t="s">
        <v>1330</v>
      </c>
      <c r="D339" s="1" t="str">
        <f>VLOOKUP( 4,Squads!A:E,5,0)</f>
        <v>NEW</v>
      </c>
      <c r="E339" s="1" t="str">
        <f>VLOOKUP( 2,$CX$2:$CY$5,2,0)</f>
        <v>DEF</v>
      </c>
      <c r="F339" s="8">
        <v>2000000</v>
      </c>
      <c r="G339" s="1" t="s">
        <v>1011</v>
      </c>
      <c r="H339" s="1">
        <v>2000000</v>
      </c>
      <c r="I339" s="1">
        <v>2000000</v>
      </c>
      <c r="J339" s="3">
        <v>2000000</v>
      </c>
      <c r="K339" s="3">
        <v>2000000</v>
      </c>
      <c r="O339" s="3">
        <v>0</v>
      </c>
      <c r="P339" s="3">
        <v>218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>
        <v>0</v>
      </c>
      <c r="X339" s="3">
        <v>283</v>
      </c>
      <c r="Y339" s="3">
        <v>0</v>
      </c>
      <c r="Z339" s="3">
        <v>0</v>
      </c>
      <c r="CX339" s="9"/>
      <c r="DC339"/>
      <c r="DD339" s="1"/>
      <c r="DF339" s="1"/>
      <c r="DH339" s="1"/>
      <c r="DJ339" s="1"/>
      <c r="DL339" s="1"/>
      <c r="DN339" s="1"/>
      <c r="DP339" s="1"/>
    </row>
    <row r="340" spans="1:208">
      <c r="A340">
        <v>152760</v>
      </c>
      <c r="B340" s="1" t="s">
        <v>173</v>
      </c>
      <c r="C340" s="1" t="s">
        <v>174</v>
      </c>
      <c r="D340" s="1" t="str">
        <f>VLOOKUP( 14,Squads!A:E,5,0)</f>
        <v>LIV</v>
      </c>
      <c r="E340" s="1" t="str">
        <f>VLOOKUP( 4,$CX$2:$CY$5,2,0)</f>
        <v>STR</v>
      </c>
      <c r="F340" s="8">
        <v>3500000</v>
      </c>
      <c r="G340" s="1" t="s">
        <v>0</v>
      </c>
      <c r="H340" s="1">
        <v>3500000</v>
      </c>
      <c r="I340" s="1">
        <v>3500000</v>
      </c>
      <c r="J340" s="3">
        <v>3500000</v>
      </c>
      <c r="K340" s="3">
        <v>3500000</v>
      </c>
      <c r="L340" s="3">
        <v>0</v>
      </c>
      <c r="O340" s="3">
        <v>0</v>
      </c>
      <c r="P340" s="3">
        <v>218</v>
      </c>
      <c r="Q340" s="3">
        <v>1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2929</v>
      </c>
      <c r="Y340" s="3">
        <v>0.3</v>
      </c>
      <c r="Z340" s="3">
        <v>0</v>
      </c>
      <c r="CX340" s="9"/>
      <c r="DC340"/>
      <c r="DD340" s="1"/>
      <c r="DF340" s="1"/>
      <c r="DH340" s="1"/>
      <c r="DJ340" s="1"/>
      <c r="DL340" s="1"/>
      <c r="DN340" s="1"/>
      <c r="DP340" s="1"/>
    </row>
    <row r="341" spans="1:208">
      <c r="A341">
        <v>153127</v>
      </c>
      <c r="B341" s="1" t="s">
        <v>756</v>
      </c>
      <c r="C341" s="1" t="s">
        <v>757</v>
      </c>
      <c r="D341" s="1" t="str">
        <f>VLOOKUP( 4,Squads!A:E,5,0)</f>
        <v>NEW</v>
      </c>
      <c r="E341" s="1" t="str">
        <f>VLOOKUP( 3,$CX$2:$CY$5,2,0)</f>
        <v>MID</v>
      </c>
      <c r="F341" s="8">
        <v>1900000</v>
      </c>
      <c r="G341" s="1" t="s">
        <v>0</v>
      </c>
      <c r="H341" s="1">
        <v>2000000</v>
      </c>
      <c r="I341" s="1">
        <v>2000000</v>
      </c>
      <c r="J341" s="3">
        <v>2000000</v>
      </c>
      <c r="K341" s="3">
        <v>1900000</v>
      </c>
      <c r="L341" s="3">
        <v>0</v>
      </c>
      <c r="M341" s="3">
        <v>-1</v>
      </c>
      <c r="N341" s="3">
        <v>3</v>
      </c>
      <c r="O341" s="3">
        <v>71</v>
      </c>
      <c r="P341" s="3">
        <v>197</v>
      </c>
      <c r="Q341" s="3">
        <v>4</v>
      </c>
      <c r="R341" s="3">
        <v>2</v>
      </c>
      <c r="S341" s="3">
        <v>0.5</v>
      </c>
      <c r="T341" s="3">
        <v>3</v>
      </c>
      <c r="U341" s="3">
        <v>-1</v>
      </c>
      <c r="V341" s="3">
        <v>0.7</v>
      </c>
      <c r="W341" s="3">
        <v>0.8</v>
      </c>
      <c r="X341" s="3">
        <v>407</v>
      </c>
      <c r="Y341" s="3">
        <v>0</v>
      </c>
      <c r="Z341" s="3">
        <v>0</v>
      </c>
      <c r="CX341" s="9"/>
      <c r="DC341"/>
      <c r="DD341" s="1"/>
      <c r="DF341" s="1"/>
      <c r="DH341" s="1"/>
      <c r="DJ341" s="1"/>
      <c r="DL341" s="1"/>
      <c r="DN341" s="1"/>
      <c r="DP341" s="1"/>
    </row>
    <row r="342" spans="1:208">
      <c r="A342">
        <v>153133</v>
      </c>
      <c r="B342" s="1" t="s">
        <v>330</v>
      </c>
      <c r="C342" s="1" t="s">
        <v>335</v>
      </c>
      <c r="D342" s="1" t="str">
        <f>VLOOKUP( 3,Squads!A:E,5,0)</f>
        <v>ARS</v>
      </c>
      <c r="E342" s="1" t="str">
        <f>VLOOKUP( 4,$CX$2:$CY$5,2,0)</f>
        <v>STR</v>
      </c>
      <c r="F342" s="8">
        <v>2000000</v>
      </c>
      <c r="G342" s="1" t="s">
        <v>0</v>
      </c>
      <c r="H342" s="1">
        <v>2000000</v>
      </c>
      <c r="I342" s="1">
        <v>2000000</v>
      </c>
      <c r="J342" s="3">
        <v>2000000</v>
      </c>
      <c r="K342" s="3">
        <v>2000000</v>
      </c>
      <c r="M342" s="3">
        <v>0</v>
      </c>
      <c r="O342" s="3">
        <v>0</v>
      </c>
      <c r="P342" s="3">
        <v>218</v>
      </c>
      <c r="Q342" s="3">
        <v>1</v>
      </c>
      <c r="R342" s="3">
        <v>0</v>
      </c>
      <c r="S342" s="3">
        <v>0</v>
      </c>
      <c r="T342" s="3">
        <v>0</v>
      </c>
      <c r="U342" s="3">
        <v>0</v>
      </c>
      <c r="V342" s="3">
        <v>2.7</v>
      </c>
      <c r="W342" s="3">
        <v>1.6</v>
      </c>
      <c r="X342" s="3">
        <v>3798</v>
      </c>
      <c r="Y342" s="3">
        <v>0.3</v>
      </c>
      <c r="Z342" s="3">
        <v>0</v>
      </c>
      <c r="CX342" s="9"/>
      <c r="DD342" s="1"/>
      <c r="DF342" s="1"/>
      <c r="DH342" s="1"/>
      <c r="DJ342" s="1"/>
      <c r="DL342" s="1"/>
      <c r="DN342" s="1"/>
      <c r="DP342" s="1"/>
    </row>
    <row r="343" spans="1:208">
      <c r="A343">
        <v>153256</v>
      </c>
      <c r="B343" s="1" t="s">
        <v>268</v>
      </c>
      <c r="C343" s="1" t="s">
        <v>285</v>
      </c>
      <c r="D343" s="1" t="str">
        <f>VLOOKUP( 3,Squads!A:E,5,0)</f>
        <v>ARS</v>
      </c>
      <c r="E343" s="1" t="str">
        <f>VLOOKUP( 3,$CX$2:$CY$5,2,0)</f>
        <v>MID</v>
      </c>
      <c r="F343" s="8">
        <v>1000000</v>
      </c>
      <c r="G343" s="1" t="s">
        <v>0</v>
      </c>
      <c r="H343" s="1">
        <v>1000000</v>
      </c>
      <c r="I343" s="1">
        <v>1000000</v>
      </c>
      <c r="J343" s="3">
        <v>1000000</v>
      </c>
      <c r="K343" s="3">
        <v>1000000</v>
      </c>
      <c r="L343" s="3">
        <v>2</v>
      </c>
      <c r="O343" s="3">
        <v>0</v>
      </c>
      <c r="P343" s="3">
        <v>197</v>
      </c>
      <c r="Q343" s="3">
        <v>1</v>
      </c>
      <c r="R343" s="3">
        <v>2</v>
      </c>
      <c r="S343" s="3">
        <v>2</v>
      </c>
      <c r="T343" s="3">
        <v>2</v>
      </c>
      <c r="U343" s="3">
        <v>2</v>
      </c>
      <c r="V343" s="3">
        <v>0.7</v>
      </c>
      <c r="W343" s="3">
        <v>0.2</v>
      </c>
      <c r="X343" s="3">
        <v>3643</v>
      </c>
      <c r="Y343" s="3">
        <v>0.3</v>
      </c>
      <c r="Z343" s="3">
        <v>0</v>
      </c>
      <c r="CX343" s="9"/>
      <c r="DD343" s="1"/>
      <c r="DF343" s="1"/>
      <c r="DH343" s="1"/>
      <c r="DJ343" s="1"/>
      <c r="DL343" s="1"/>
      <c r="DN343" s="1"/>
      <c r="DP343" s="1"/>
    </row>
    <row r="344" spans="1:208">
      <c r="A344">
        <v>154566</v>
      </c>
      <c r="B344" s="1" t="s">
        <v>744</v>
      </c>
      <c r="C344" s="1" t="s">
        <v>805</v>
      </c>
      <c r="D344" s="1" t="str">
        <f>VLOOKUP( 14,Squads!A:E,5,0)</f>
        <v>LIV</v>
      </c>
      <c r="E344" s="1" t="str">
        <f>VLOOKUP( 4,$CX$2:$CY$5,2,0)</f>
        <v>STR</v>
      </c>
      <c r="F344" s="8">
        <v>1000000</v>
      </c>
      <c r="G344" s="1" t="s">
        <v>0</v>
      </c>
      <c r="H344" s="1">
        <v>1000000</v>
      </c>
      <c r="I344" s="1">
        <v>1000000</v>
      </c>
      <c r="J344" s="3">
        <v>1000000</v>
      </c>
      <c r="K344" s="3">
        <v>1000000</v>
      </c>
      <c r="L344" s="3">
        <v>0</v>
      </c>
      <c r="M344" s="3">
        <v>0</v>
      </c>
      <c r="O344" s="3">
        <v>0</v>
      </c>
      <c r="P344" s="3">
        <v>218</v>
      </c>
      <c r="Q344" s="3">
        <v>2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12416</v>
      </c>
      <c r="Y344" s="3">
        <v>1.1000000000000001</v>
      </c>
      <c r="Z344" s="3">
        <v>0</v>
      </c>
      <c r="CX344" s="9"/>
      <c r="DD344" s="1"/>
      <c r="DF344" s="1"/>
      <c r="DH344" s="1"/>
      <c r="DJ344" s="1"/>
      <c r="DL344" s="1"/>
      <c r="DN344" s="1"/>
      <c r="DP344" s="1"/>
    </row>
    <row r="345" spans="1:208">
      <c r="A345">
        <v>155851</v>
      </c>
      <c r="B345" s="1" t="s">
        <v>365</v>
      </c>
      <c r="C345" s="1" t="s">
        <v>486</v>
      </c>
      <c r="D345" s="1" t="str">
        <f>VLOOKUP( 3,Squads!A:E,5,0)</f>
        <v>ARS</v>
      </c>
      <c r="E345" s="1" t="str">
        <f>VLOOKUP( 4,$CX$2:$CY$5,2,0)</f>
        <v>STR</v>
      </c>
      <c r="F345" s="8">
        <v>3500000</v>
      </c>
      <c r="G345" s="1" t="s">
        <v>0</v>
      </c>
      <c r="H345" s="1">
        <v>3500000</v>
      </c>
      <c r="I345" s="1">
        <v>3500000</v>
      </c>
      <c r="J345" s="3">
        <v>3500000</v>
      </c>
      <c r="K345" s="3">
        <v>3500000</v>
      </c>
      <c r="O345" s="3">
        <v>0</v>
      </c>
      <c r="P345" s="3">
        <v>218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5</v>
      </c>
      <c r="X345" s="3">
        <v>938</v>
      </c>
      <c r="Y345" s="3">
        <v>0.1</v>
      </c>
      <c r="Z345" s="3">
        <v>0</v>
      </c>
      <c r="DD345" s="1"/>
      <c r="DH345" s="1"/>
      <c r="DJ345" s="1"/>
      <c r="DL345" s="1"/>
      <c r="DN345" s="1"/>
      <c r="DP345" s="1"/>
    </row>
    <row r="346" spans="1:208">
      <c r="A346">
        <v>156074</v>
      </c>
      <c r="B346" s="1" t="s">
        <v>441</v>
      </c>
      <c r="C346" s="1" t="s">
        <v>442</v>
      </c>
      <c r="D346" s="1" t="str">
        <f>VLOOKUP( 3,Squads!A:E,5,0)</f>
        <v>ARS</v>
      </c>
      <c r="E346" s="1" t="str">
        <f>VLOOKUP( 2,$CX$2:$CY$5,2,0)</f>
        <v>DEF</v>
      </c>
      <c r="F346" s="8">
        <v>2700000</v>
      </c>
      <c r="G346" s="1" t="s">
        <v>0</v>
      </c>
      <c r="H346" s="1">
        <v>3000000</v>
      </c>
      <c r="I346" s="1">
        <v>3000000</v>
      </c>
      <c r="J346" s="3">
        <v>3000000</v>
      </c>
      <c r="K346" s="3">
        <v>2700000</v>
      </c>
      <c r="L346" s="3">
        <v>-2</v>
      </c>
      <c r="N346" s="3">
        <v>-4</v>
      </c>
      <c r="O346" s="3">
        <v>238</v>
      </c>
      <c r="P346" s="3">
        <v>372</v>
      </c>
      <c r="Q346" s="3">
        <v>2</v>
      </c>
      <c r="R346" s="3">
        <v>-6</v>
      </c>
      <c r="S346" s="3">
        <v>-3</v>
      </c>
      <c r="T346" s="3">
        <v>-2</v>
      </c>
      <c r="U346" s="3">
        <v>-4</v>
      </c>
      <c r="V346" s="3">
        <v>0.7</v>
      </c>
      <c r="W346" s="3">
        <v>0.4</v>
      </c>
      <c r="X346" s="3">
        <v>18695</v>
      </c>
      <c r="Y346" s="3">
        <v>1.6</v>
      </c>
      <c r="Z346" s="3">
        <v>0</v>
      </c>
      <c r="DD346" s="1"/>
      <c r="DJ346" s="1"/>
      <c r="DL346" s="1"/>
      <c r="DN346" s="1"/>
      <c r="DP346" s="1"/>
    </row>
    <row r="347" spans="1:208">
      <c r="A347">
        <v>157668</v>
      </c>
      <c r="B347" s="1" t="s">
        <v>13</v>
      </c>
      <c r="C347" s="1" t="s">
        <v>487</v>
      </c>
      <c r="D347" s="1" t="str">
        <f>VLOOKUP( 6,Squads!A:E,5,0)</f>
        <v>TOT</v>
      </c>
      <c r="E347" s="1" t="str">
        <f>VLOOKUP( 3,$CX$2:$CY$5,2,0)</f>
        <v>MID</v>
      </c>
      <c r="F347" s="8">
        <v>2300000</v>
      </c>
      <c r="G347" s="1" t="s">
        <v>0</v>
      </c>
      <c r="H347" s="1">
        <v>2500000</v>
      </c>
      <c r="I347" s="1">
        <v>2500000</v>
      </c>
      <c r="J347" s="3">
        <v>2500000</v>
      </c>
      <c r="K347" s="3">
        <v>2300000</v>
      </c>
      <c r="L347" s="3">
        <v>0</v>
      </c>
      <c r="N347" s="3">
        <v>0</v>
      </c>
      <c r="O347" s="3">
        <v>108</v>
      </c>
      <c r="P347" s="3">
        <v>218</v>
      </c>
      <c r="Q347" s="3">
        <v>2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1115</v>
      </c>
      <c r="Y347" s="3">
        <v>0.1</v>
      </c>
      <c r="Z347" s="3">
        <v>0</v>
      </c>
      <c r="DD347" s="1"/>
      <c r="DJ347" s="1"/>
      <c r="DL347" s="1"/>
      <c r="DN347" s="1"/>
      <c r="DP347" s="1"/>
    </row>
    <row r="348" spans="1:208">
      <c r="A348">
        <v>158074</v>
      </c>
      <c r="C348" s="1" t="s">
        <v>112</v>
      </c>
      <c r="D348" s="1" t="str">
        <f>VLOOKUP( 3,Squads!A:E,5,0)</f>
        <v>ARS</v>
      </c>
      <c r="E348" s="1" t="str">
        <f>VLOOKUP( 2,$CX$2:$CY$5,2,0)</f>
        <v>DEF</v>
      </c>
      <c r="F348" s="8">
        <v>2500000</v>
      </c>
      <c r="G348" s="1" t="s">
        <v>978</v>
      </c>
      <c r="H348" s="1">
        <v>2500000</v>
      </c>
      <c r="I348" s="1">
        <v>2500000</v>
      </c>
      <c r="J348" s="3">
        <v>2500000</v>
      </c>
      <c r="K348" s="3">
        <v>2500000</v>
      </c>
      <c r="O348" s="3">
        <v>0</v>
      </c>
      <c r="P348" s="3">
        <v>218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3</v>
      </c>
      <c r="W348" s="3">
        <v>1.2</v>
      </c>
      <c r="X348" s="3">
        <v>4183</v>
      </c>
      <c r="Y348" s="3">
        <v>0.4</v>
      </c>
      <c r="Z348" s="3">
        <v>0</v>
      </c>
      <c r="DD348" s="1"/>
      <c r="DN348" s="1"/>
      <c r="DP348" s="1"/>
      <c r="GZ348" s="2"/>
    </row>
    <row r="349" spans="1:208">
      <c r="A349">
        <v>158534</v>
      </c>
      <c r="B349" s="1" t="s">
        <v>38</v>
      </c>
      <c r="C349" s="1" t="s">
        <v>1331</v>
      </c>
      <c r="D349" s="1" t="str">
        <f>VLOOKUP( 6,Squads!A:E,5,0)</f>
        <v>TOT</v>
      </c>
      <c r="E349" s="1" t="str">
        <f>VLOOKUP( 2,$CX$2:$CY$5,2,0)</f>
        <v>DEF</v>
      </c>
      <c r="F349" s="8">
        <v>2500000</v>
      </c>
      <c r="G349" s="1" t="s">
        <v>0</v>
      </c>
      <c r="H349" s="1">
        <v>2500000</v>
      </c>
      <c r="I349" s="1">
        <v>2500000</v>
      </c>
      <c r="J349" s="3">
        <v>2500000</v>
      </c>
      <c r="K349" s="3">
        <v>2500000</v>
      </c>
      <c r="L349" s="3">
        <v>8</v>
      </c>
      <c r="O349" s="3">
        <v>0</v>
      </c>
      <c r="P349" s="3">
        <v>103</v>
      </c>
      <c r="Q349" s="3">
        <v>1</v>
      </c>
      <c r="R349" s="3">
        <v>8</v>
      </c>
      <c r="S349" s="3">
        <v>8</v>
      </c>
      <c r="T349" s="3">
        <v>8</v>
      </c>
      <c r="U349" s="3">
        <v>8</v>
      </c>
      <c r="V349" s="3">
        <v>8</v>
      </c>
      <c r="W349" s="3">
        <v>8</v>
      </c>
      <c r="X349" s="3">
        <v>15632</v>
      </c>
      <c r="Y349" s="3">
        <v>1.4</v>
      </c>
      <c r="Z349" s="3">
        <v>0</v>
      </c>
      <c r="DD349" s="1"/>
      <c r="DN349" s="1"/>
      <c r="DP349" s="1"/>
    </row>
    <row r="350" spans="1:208">
      <c r="A350">
        <v>165809</v>
      </c>
      <c r="B350" s="1" t="s">
        <v>743</v>
      </c>
      <c r="C350" s="1" t="s">
        <v>195</v>
      </c>
      <c r="D350" s="1" t="str">
        <f>VLOOKUP( 43,Squads!A:E,5,0)</f>
        <v>MCI</v>
      </c>
      <c r="E350" s="1" t="str">
        <f>VLOOKUP( 3,$CX$2:$CY$5,2,0)</f>
        <v>MID</v>
      </c>
      <c r="F350" s="8">
        <v>4200000</v>
      </c>
      <c r="G350" s="1" t="s">
        <v>0</v>
      </c>
      <c r="H350" s="1">
        <v>4500000</v>
      </c>
      <c r="I350" s="1">
        <v>4500000</v>
      </c>
      <c r="J350" s="3">
        <v>4500000</v>
      </c>
      <c r="K350" s="3">
        <v>4200000</v>
      </c>
      <c r="L350" s="3">
        <v>0</v>
      </c>
      <c r="M350" s="3">
        <v>0</v>
      </c>
      <c r="N350" s="3">
        <v>0</v>
      </c>
      <c r="O350" s="3">
        <v>108</v>
      </c>
      <c r="P350" s="3">
        <v>218</v>
      </c>
      <c r="Q350" s="3">
        <v>3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1.4</v>
      </c>
      <c r="X350" s="3">
        <v>19984</v>
      </c>
      <c r="Y350" s="3">
        <v>1.8</v>
      </c>
      <c r="Z350" s="3">
        <v>0</v>
      </c>
      <c r="DD350" s="1"/>
      <c r="DN350" s="1"/>
      <c r="DP350" s="1"/>
    </row>
    <row r="351" spans="1:208">
      <c r="A351">
        <v>165990</v>
      </c>
      <c r="B351" s="1" t="s">
        <v>127</v>
      </c>
      <c r="C351" s="1" t="s">
        <v>181</v>
      </c>
      <c r="D351" s="1" t="str">
        <f>VLOOKUP( 6,Squads!A:E,5,0)</f>
        <v>TOT</v>
      </c>
      <c r="E351" s="1" t="str">
        <f>VLOOKUP( 4,$CX$2:$CY$5,2,0)</f>
        <v>STR</v>
      </c>
      <c r="F351" s="8">
        <v>2500000</v>
      </c>
      <c r="G351" s="1" t="s">
        <v>0</v>
      </c>
      <c r="H351" s="1">
        <v>2500000</v>
      </c>
      <c r="I351" s="1">
        <v>2500000</v>
      </c>
      <c r="J351" s="3">
        <v>2500000</v>
      </c>
      <c r="K351" s="3">
        <v>2500000</v>
      </c>
      <c r="M351" s="3">
        <v>0</v>
      </c>
      <c r="O351" s="3">
        <v>0</v>
      </c>
      <c r="P351" s="3">
        <v>218</v>
      </c>
      <c r="Q351" s="3">
        <v>1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1315</v>
      </c>
      <c r="Y351" s="3">
        <v>0.1</v>
      </c>
      <c r="Z351" s="3">
        <v>0</v>
      </c>
      <c r="DD351" s="1"/>
      <c r="DN351" s="1"/>
      <c r="DP351" s="1"/>
    </row>
    <row r="352" spans="1:208">
      <c r="A352">
        <v>167473</v>
      </c>
      <c r="B352" s="1" t="s">
        <v>46</v>
      </c>
      <c r="C352" s="1" t="s">
        <v>1332</v>
      </c>
      <c r="D352" s="1" t="str">
        <f>VLOOKUP( 36,Squads!A:E,5,0)</f>
        <v>BHA</v>
      </c>
      <c r="E352" s="1" t="str">
        <f>VLOOKUP( 4,$CX$2:$CY$5,2,0)</f>
        <v>STR</v>
      </c>
      <c r="F352" s="8">
        <v>2900000</v>
      </c>
      <c r="G352" s="1" t="s">
        <v>0</v>
      </c>
      <c r="H352" s="1">
        <v>2000000</v>
      </c>
      <c r="I352" s="1">
        <v>3000000</v>
      </c>
      <c r="J352" s="3">
        <v>3000000</v>
      </c>
      <c r="K352" s="3">
        <v>2900000</v>
      </c>
      <c r="N352" s="3">
        <v>0</v>
      </c>
      <c r="O352" s="3">
        <v>108</v>
      </c>
      <c r="P352" s="3">
        <v>218</v>
      </c>
      <c r="Q352" s="3">
        <v>1</v>
      </c>
      <c r="R352" s="3">
        <v>0</v>
      </c>
      <c r="S352" s="3">
        <v>0</v>
      </c>
      <c r="T352" s="3">
        <v>0</v>
      </c>
      <c r="U352" s="3">
        <v>0</v>
      </c>
      <c r="V352" s="3">
        <v>2.7</v>
      </c>
      <c r="W352" s="3">
        <v>2.7</v>
      </c>
      <c r="X352" s="3">
        <v>30</v>
      </c>
      <c r="Y352" s="3">
        <v>0</v>
      </c>
      <c r="Z352" s="3">
        <v>0</v>
      </c>
      <c r="DD352" s="1"/>
      <c r="DN352" s="1"/>
      <c r="DP352" s="1"/>
    </row>
    <row r="353" spans="1:120">
      <c r="A353">
        <v>168580</v>
      </c>
      <c r="B353" s="1" t="s">
        <v>806</v>
      </c>
      <c r="C353" s="1" t="s">
        <v>807</v>
      </c>
      <c r="D353" s="1" t="str">
        <f>VLOOKUP( 4,Squads!A:E,5,0)</f>
        <v>NEW</v>
      </c>
      <c r="E353" s="1" t="str">
        <f>VLOOKUP( 4,$CX$2:$CY$5,2,0)</f>
        <v>STR</v>
      </c>
      <c r="F353" s="8">
        <v>2100000</v>
      </c>
      <c r="G353" s="1" t="s">
        <v>0</v>
      </c>
      <c r="H353" s="1">
        <v>2000000</v>
      </c>
      <c r="I353" s="1">
        <v>2000000</v>
      </c>
      <c r="J353" s="3">
        <v>2000000</v>
      </c>
      <c r="K353" s="3">
        <v>2100000</v>
      </c>
      <c r="L353" s="3">
        <v>0</v>
      </c>
      <c r="M353" s="3">
        <v>0</v>
      </c>
      <c r="N353" s="3">
        <v>5</v>
      </c>
      <c r="O353" s="3">
        <v>48</v>
      </c>
      <c r="P353" s="3">
        <v>155</v>
      </c>
      <c r="Q353" s="3">
        <v>3</v>
      </c>
      <c r="R353" s="3">
        <v>5</v>
      </c>
      <c r="S353" s="3">
        <v>1.7</v>
      </c>
      <c r="T353" s="3">
        <v>5</v>
      </c>
      <c r="U353" s="3">
        <v>0</v>
      </c>
      <c r="V353" s="3">
        <v>1.7</v>
      </c>
      <c r="W353" s="3">
        <v>1.7</v>
      </c>
      <c r="X353" s="3">
        <v>1894</v>
      </c>
      <c r="Y353" s="3">
        <v>0.2</v>
      </c>
      <c r="Z353" s="3">
        <v>0</v>
      </c>
      <c r="DN353" s="1"/>
      <c r="DP353" s="1"/>
    </row>
    <row r="354" spans="1:120">
      <c r="A354">
        <v>169102</v>
      </c>
      <c r="B354" s="1" t="s">
        <v>984</v>
      </c>
      <c r="C354" s="1" t="s">
        <v>985</v>
      </c>
      <c r="D354" s="1" t="str">
        <f>VLOOKUP( 8,Squads!A:E,5,0)</f>
        <v>CHE</v>
      </c>
      <c r="E354" s="1" t="str">
        <f>VLOOKUP( 3,$CX$2:$CY$5,2,0)</f>
        <v>MID</v>
      </c>
      <c r="F354" s="8">
        <v>2800000</v>
      </c>
      <c r="G354" s="1" t="s">
        <v>0</v>
      </c>
      <c r="H354" s="1">
        <v>3000000</v>
      </c>
      <c r="I354" s="1">
        <v>3000000</v>
      </c>
      <c r="J354" s="3">
        <v>3000000</v>
      </c>
      <c r="K354" s="3">
        <v>2800000</v>
      </c>
      <c r="M354" s="3">
        <v>0</v>
      </c>
      <c r="N354" s="3">
        <v>0</v>
      </c>
      <c r="O354" s="3">
        <v>108</v>
      </c>
      <c r="P354" s="3">
        <v>218</v>
      </c>
      <c r="Q354" s="3">
        <v>2</v>
      </c>
      <c r="R354" s="3">
        <v>0</v>
      </c>
      <c r="S354" s="3">
        <v>0</v>
      </c>
      <c r="T354" s="3">
        <v>0</v>
      </c>
      <c r="U354" s="3">
        <v>0</v>
      </c>
      <c r="V354" s="3">
        <v>1</v>
      </c>
      <c r="W354" s="3">
        <v>1</v>
      </c>
      <c r="X354" s="3">
        <v>6587</v>
      </c>
      <c r="Y354" s="3">
        <v>0.6</v>
      </c>
      <c r="Z354" s="3">
        <v>0</v>
      </c>
      <c r="DN354" s="1"/>
      <c r="DP354" s="1"/>
    </row>
    <row r="355" spans="1:120">
      <c r="A355">
        <v>169141</v>
      </c>
      <c r="B355" s="1" t="s">
        <v>315</v>
      </c>
      <c r="C355" s="1" t="s">
        <v>975</v>
      </c>
      <c r="D355" s="1" t="str">
        <f>VLOOKUP( 38,Squads!A:E,5,0)</f>
        <v>HUD</v>
      </c>
      <c r="E355" s="1" t="str">
        <f>VLOOKUP( 4,$CX$2:$CY$5,2,0)</f>
        <v>STR</v>
      </c>
      <c r="F355" s="8">
        <v>2300000</v>
      </c>
      <c r="G355" s="1" t="s">
        <v>0</v>
      </c>
      <c r="H355" s="1">
        <v>2000000</v>
      </c>
      <c r="I355" s="1">
        <v>2000000</v>
      </c>
      <c r="J355" s="3">
        <v>2000000</v>
      </c>
      <c r="K355" s="3">
        <v>2300000</v>
      </c>
      <c r="L355" s="3">
        <v>17</v>
      </c>
      <c r="M355" s="3">
        <v>2</v>
      </c>
      <c r="N355" s="3">
        <v>3</v>
      </c>
      <c r="O355" s="3">
        <v>71</v>
      </c>
      <c r="P355" s="3">
        <v>19</v>
      </c>
      <c r="Q355" s="3">
        <v>3</v>
      </c>
      <c r="R355" s="3">
        <v>22</v>
      </c>
      <c r="S355" s="3">
        <v>7.3</v>
      </c>
      <c r="T355" s="3">
        <v>17</v>
      </c>
      <c r="U355" s="3">
        <v>2</v>
      </c>
      <c r="V355" s="3">
        <v>7.3</v>
      </c>
      <c r="W355" s="3">
        <v>7.3</v>
      </c>
      <c r="X355" s="3">
        <v>19157</v>
      </c>
      <c r="Y355" s="3">
        <v>1.7</v>
      </c>
      <c r="Z355" s="3">
        <v>0</v>
      </c>
      <c r="DN355" s="1"/>
      <c r="DP355" s="1"/>
    </row>
    <row r="356" spans="1:120">
      <c r="A356">
        <v>169187</v>
      </c>
      <c r="B356" s="1" t="s">
        <v>1005</v>
      </c>
      <c r="C356" s="1" t="s">
        <v>1015</v>
      </c>
      <c r="D356" s="1" t="str">
        <f>VLOOKUP( 14,Squads!A:E,5,0)</f>
        <v>LIV</v>
      </c>
      <c r="E356" s="1" t="str">
        <f>VLOOKUP( 2,$CX$2:$CY$5,2,0)</f>
        <v>DEF</v>
      </c>
      <c r="F356" s="8">
        <v>2500000</v>
      </c>
      <c r="G356" s="1" t="s">
        <v>0</v>
      </c>
      <c r="H356" s="1">
        <v>2500000</v>
      </c>
      <c r="I356" s="1">
        <v>2500000</v>
      </c>
      <c r="J356" s="3">
        <v>2500000</v>
      </c>
      <c r="K356" s="3">
        <v>2500000</v>
      </c>
      <c r="L356" s="3">
        <v>12</v>
      </c>
      <c r="M356" s="3">
        <v>-1</v>
      </c>
      <c r="O356" s="3">
        <v>0</v>
      </c>
      <c r="P356" s="3">
        <v>78</v>
      </c>
      <c r="Q356" s="3">
        <v>3</v>
      </c>
      <c r="R356" s="3">
        <v>11</v>
      </c>
      <c r="S356" s="3">
        <v>3.7</v>
      </c>
      <c r="T356" s="3">
        <v>12</v>
      </c>
      <c r="U356" s="3">
        <v>-1</v>
      </c>
      <c r="V356" s="3">
        <v>3.7</v>
      </c>
      <c r="W356" s="3">
        <v>2</v>
      </c>
      <c r="X356" s="3">
        <v>30283</v>
      </c>
      <c r="Y356" s="3">
        <v>2.7</v>
      </c>
      <c r="Z356" s="3">
        <v>0</v>
      </c>
      <c r="DN356" s="1"/>
      <c r="DP356" s="1"/>
    </row>
    <row r="357" spans="1:120">
      <c r="A357">
        <v>171319</v>
      </c>
      <c r="B357" s="1" t="s">
        <v>1333</v>
      </c>
      <c r="C357" s="1" t="s">
        <v>1334</v>
      </c>
      <c r="D357" s="1" t="str">
        <f>VLOOKUP( 80,Squads!A:E,5,0)</f>
        <v>SWA</v>
      </c>
      <c r="E357" s="1" t="str">
        <f>VLOOKUP( 3,$CX$2:$CY$5,2,0)</f>
        <v>MID</v>
      </c>
      <c r="F357" s="8">
        <v>2500000</v>
      </c>
      <c r="G357" s="1" t="s">
        <v>0</v>
      </c>
      <c r="H357" s="1">
        <v>4500000</v>
      </c>
      <c r="J357" s="3">
        <v>2500000</v>
      </c>
      <c r="K357" s="3">
        <v>2500000</v>
      </c>
      <c r="O357" s="3">
        <v>0</v>
      </c>
      <c r="P357" s="3">
        <v>218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>
        <v>0</v>
      </c>
      <c r="X357" s="3">
        <v>22</v>
      </c>
      <c r="Y357" s="3">
        <v>0</v>
      </c>
      <c r="Z357" s="3">
        <v>0</v>
      </c>
      <c r="DN357" s="1"/>
      <c r="DP357" s="1"/>
    </row>
    <row r="358" spans="1:120">
      <c r="A358">
        <v>172632</v>
      </c>
      <c r="B358" s="1" t="s">
        <v>290</v>
      </c>
      <c r="C358" s="1" t="s">
        <v>172</v>
      </c>
      <c r="D358" s="1" t="str">
        <f>VLOOKUP( 13,Squads!A:E,5,0)</f>
        <v>LEI</v>
      </c>
      <c r="E358" s="1" t="str">
        <f>VLOOKUP( 3,$CX$2:$CY$5,2,0)</f>
        <v>MID</v>
      </c>
      <c r="F358" s="8">
        <v>2300000</v>
      </c>
      <c r="G358" s="1" t="s">
        <v>0</v>
      </c>
      <c r="H358" s="1">
        <v>2000000</v>
      </c>
      <c r="I358" s="1">
        <v>2000000</v>
      </c>
      <c r="J358" s="3">
        <v>2000000</v>
      </c>
      <c r="K358" s="3">
        <v>2300000</v>
      </c>
      <c r="L358" s="3">
        <v>0</v>
      </c>
      <c r="M358" s="3">
        <v>15</v>
      </c>
      <c r="N358" s="3">
        <v>0</v>
      </c>
      <c r="O358" s="3">
        <v>108</v>
      </c>
      <c r="P358" s="3">
        <v>50</v>
      </c>
      <c r="Q358" s="3">
        <v>4</v>
      </c>
      <c r="R358" s="3">
        <v>15</v>
      </c>
      <c r="S358" s="3">
        <v>3.8</v>
      </c>
      <c r="T358" s="3">
        <v>15</v>
      </c>
      <c r="U358" s="3">
        <v>0</v>
      </c>
      <c r="V358" s="3">
        <v>5</v>
      </c>
      <c r="W358" s="3">
        <v>3</v>
      </c>
      <c r="X358" s="3">
        <v>3772</v>
      </c>
      <c r="Y358" s="3">
        <v>0.3</v>
      </c>
      <c r="Z358" s="3">
        <v>0</v>
      </c>
      <c r="DN358" s="1"/>
      <c r="DP358" s="1"/>
    </row>
    <row r="359" spans="1:120">
      <c r="A359">
        <v>172850</v>
      </c>
      <c r="B359" s="1" t="s">
        <v>211</v>
      </c>
      <c r="C359" s="1" t="s">
        <v>443</v>
      </c>
      <c r="D359" s="1" t="str">
        <f>VLOOKUP( 13,Squads!A:E,5,0)</f>
        <v>LEI</v>
      </c>
      <c r="E359" s="1" t="str">
        <f>VLOOKUP( 2,$CX$2:$CY$5,2,0)</f>
        <v>DEF</v>
      </c>
      <c r="F359" s="8">
        <v>1500000</v>
      </c>
      <c r="G359" s="1" t="s">
        <v>0</v>
      </c>
      <c r="H359" s="1">
        <v>1500000</v>
      </c>
      <c r="I359" s="1">
        <v>1500000</v>
      </c>
      <c r="J359" s="3">
        <v>1500000</v>
      </c>
      <c r="K359" s="3">
        <v>1500000</v>
      </c>
      <c r="M359" s="3">
        <v>3</v>
      </c>
      <c r="O359" s="3">
        <v>0</v>
      </c>
      <c r="P359" s="3">
        <v>178</v>
      </c>
      <c r="Q359" s="3">
        <v>1</v>
      </c>
      <c r="R359" s="3">
        <v>3</v>
      </c>
      <c r="S359" s="3">
        <v>3</v>
      </c>
      <c r="T359" s="3">
        <v>3</v>
      </c>
      <c r="U359" s="3">
        <v>3</v>
      </c>
      <c r="V359" s="3">
        <v>3.7</v>
      </c>
      <c r="W359" s="3">
        <v>0.8</v>
      </c>
      <c r="X359" s="3">
        <v>26173</v>
      </c>
      <c r="Y359" s="3">
        <v>2.2999999999999998</v>
      </c>
      <c r="Z359" s="3">
        <v>0</v>
      </c>
      <c r="DN359" s="1"/>
      <c r="DP359" s="1"/>
    </row>
    <row r="360" spans="1:120">
      <c r="A360">
        <v>173514</v>
      </c>
      <c r="B360" s="1" t="s">
        <v>756</v>
      </c>
      <c r="C360" s="1" t="s">
        <v>444</v>
      </c>
      <c r="D360" s="1" t="str">
        <f>VLOOKUP( 57,Squads!A:E,5,0)</f>
        <v>WAT</v>
      </c>
      <c r="E360" s="1" t="str">
        <f>VLOOKUP( 4,$CX$2:$CY$5,2,0)</f>
        <v>STR</v>
      </c>
      <c r="F360" s="8">
        <v>1500000</v>
      </c>
      <c r="G360" s="1" t="s">
        <v>0</v>
      </c>
      <c r="H360" s="1">
        <v>1500000</v>
      </c>
      <c r="I360" s="1">
        <v>1500000</v>
      </c>
      <c r="J360" s="3">
        <v>1500000</v>
      </c>
      <c r="K360" s="3">
        <v>1500000</v>
      </c>
      <c r="M360" s="3">
        <v>2</v>
      </c>
      <c r="O360" s="3">
        <v>0</v>
      </c>
      <c r="P360" s="3">
        <v>197</v>
      </c>
      <c r="Q360" s="3">
        <v>1</v>
      </c>
      <c r="R360" s="3">
        <v>2</v>
      </c>
      <c r="S360" s="3">
        <v>2</v>
      </c>
      <c r="T360" s="3">
        <v>2</v>
      </c>
      <c r="U360" s="3">
        <v>2</v>
      </c>
      <c r="V360" s="3">
        <v>1.3</v>
      </c>
      <c r="W360" s="3">
        <v>2.4</v>
      </c>
      <c r="X360" s="3">
        <v>518</v>
      </c>
      <c r="Y360" s="3">
        <v>0</v>
      </c>
      <c r="Z360" s="3">
        <v>0</v>
      </c>
      <c r="DN360" s="1"/>
      <c r="DP360" s="1"/>
    </row>
    <row r="361" spans="1:120">
      <c r="A361">
        <v>173515</v>
      </c>
      <c r="B361" s="1" t="s">
        <v>202</v>
      </c>
      <c r="C361" s="1" t="s">
        <v>203</v>
      </c>
      <c r="D361" s="1" t="str">
        <f>VLOOKUP( 13,Squads!A:E,5,0)</f>
        <v>LEI</v>
      </c>
      <c r="E361" s="1" t="str">
        <f>VLOOKUP( 4,$CX$2:$CY$5,2,0)</f>
        <v>STR</v>
      </c>
      <c r="F361" s="8">
        <v>2500000</v>
      </c>
      <c r="G361" s="1" t="s">
        <v>0</v>
      </c>
      <c r="H361" s="1">
        <v>2500000</v>
      </c>
      <c r="I361" s="1">
        <v>2500000</v>
      </c>
      <c r="J361" s="3">
        <v>2500000</v>
      </c>
      <c r="K361" s="3">
        <v>2500000</v>
      </c>
      <c r="L361" s="3">
        <v>0</v>
      </c>
      <c r="O361" s="3">
        <v>0</v>
      </c>
      <c r="P361" s="3">
        <v>218</v>
      </c>
      <c r="Q361" s="3">
        <v>1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>
        <v>1.8</v>
      </c>
      <c r="X361" s="3">
        <v>23897</v>
      </c>
      <c r="Y361" s="3">
        <v>2.1</v>
      </c>
      <c r="Z361" s="3">
        <v>0</v>
      </c>
      <c r="DN361" s="1"/>
      <c r="DP361" s="1"/>
    </row>
    <row r="362" spans="1:120">
      <c r="A362">
        <v>173807</v>
      </c>
      <c r="B362" s="1" t="s">
        <v>253</v>
      </c>
      <c r="C362" s="1" t="s">
        <v>230</v>
      </c>
      <c r="D362" s="1" t="str">
        <f>VLOOKUP( 11,Squads!A:E,5,0)</f>
        <v>EVE</v>
      </c>
      <c r="E362" s="1" t="str">
        <f>VLOOKUP( 3,$CX$2:$CY$5,2,0)</f>
        <v>MID</v>
      </c>
      <c r="F362" s="8">
        <v>1800000</v>
      </c>
      <c r="G362" s="1" t="s">
        <v>0</v>
      </c>
      <c r="H362" s="1">
        <v>2000000</v>
      </c>
      <c r="I362" s="1">
        <v>2000000</v>
      </c>
      <c r="J362" s="3">
        <v>2000000</v>
      </c>
      <c r="K362" s="3">
        <v>1800000</v>
      </c>
      <c r="L362" s="3">
        <v>0</v>
      </c>
      <c r="M362" s="3">
        <v>-1</v>
      </c>
      <c r="N362" s="3">
        <v>0</v>
      </c>
      <c r="O362" s="3">
        <v>108</v>
      </c>
      <c r="P362" s="3">
        <v>342</v>
      </c>
      <c r="Q362" s="3">
        <v>5</v>
      </c>
      <c r="R362" s="3">
        <v>-1</v>
      </c>
      <c r="S362" s="3">
        <v>-0.2</v>
      </c>
      <c r="T362" s="3">
        <v>0</v>
      </c>
      <c r="U362" s="3">
        <v>-1</v>
      </c>
      <c r="V362" s="3">
        <v>-0.3</v>
      </c>
      <c r="W362" s="3">
        <v>-0.2</v>
      </c>
      <c r="X362" s="3">
        <v>2865</v>
      </c>
      <c r="Y362" s="3">
        <v>0.3</v>
      </c>
      <c r="Z362" s="3">
        <v>0</v>
      </c>
      <c r="DP362" s="1"/>
    </row>
    <row r="363" spans="1:120">
      <c r="A363">
        <v>173879</v>
      </c>
      <c r="B363" s="1" t="s">
        <v>981</v>
      </c>
      <c r="C363" s="1" t="s">
        <v>982</v>
      </c>
      <c r="D363" s="1" t="str">
        <f>VLOOKUP( 80,Squads!A:E,5,0)</f>
        <v>SWA</v>
      </c>
      <c r="E363" s="1" t="str">
        <f>VLOOKUP( 4,$CX$2:$CY$5,2,0)</f>
        <v>STR</v>
      </c>
      <c r="F363" s="8">
        <v>2300000</v>
      </c>
      <c r="G363" s="1" t="s">
        <v>0</v>
      </c>
      <c r="H363" s="1">
        <v>2000000</v>
      </c>
      <c r="I363" s="1">
        <v>2000000</v>
      </c>
      <c r="J363" s="3">
        <v>2000000</v>
      </c>
      <c r="K363" s="3">
        <v>2300000</v>
      </c>
      <c r="L363" s="3">
        <v>0</v>
      </c>
      <c r="M363" s="3">
        <v>5</v>
      </c>
      <c r="N363" s="3">
        <v>13</v>
      </c>
      <c r="O363" s="3">
        <v>2</v>
      </c>
      <c r="P363" s="3">
        <v>33</v>
      </c>
      <c r="Q363" s="3">
        <v>4</v>
      </c>
      <c r="R363" s="3">
        <v>18</v>
      </c>
      <c r="S363" s="3">
        <v>4.5</v>
      </c>
      <c r="T363" s="3">
        <v>13</v>
      </c>
      <c r="U363" s="3">
        <v>0</v>
      </c>
      <c r="V363" s="3">
        <v>6</v>
      </c>
      <c r="W363" s="3">
        <v>3.6</v>
      </c>
      <c r="X363" s="3">
        <v>10699</v>
      </c>
      <c r="Y363" s="3">
        <v>0.9</v>
      </c>
      <c r="Z363" s="3">
        <v>0</v>
      </c>
    </row>
    <row r="364" spans="1:120">
      <c r="A364">
        <v>173904</v>
      </c>
      <c r="B364" s="1" t="s">
        <v>1335</v>
      </c>
      <c r="C364" s="1" t="s">
        <v>405</v>
      </c>
      <c r="D364" s="1" t="str">
        <f>VLOOKUP( 6,Squads!A:E,5,0)</f>
        <v>TOT</v>
      </c>
      <c r="E364" s="1" t="str">
        <f>VLOOKUP( 2,$CX$2:$CY$5,2,0)</f>
        <v>DEF</v>
      </c>
      <c r="F364" s="8">
        <v>3400000</v>
      </c>
      <c r="G364" s="1" t="s">
        <v>0</v>
      </c>
      <c r="H364" s="1">
        <v>1500000</v>
      </c>
      <c r="I364" s="1">
        <v>3500000</v>
      </c>
      <c r="J364" s="3">
        <v>3500000</v>
      </c>
      <c r="K364" s="3">
        <v>3400000</v>
      </c>
      <c r="N364" s="3">
        <v>0</v>
      </c>
      <c r="O364" s="3">
        <v>108</v>
      </c>
      <c r="P364" s="3">
        <v>218</v>
      </c>
      <c r="Q364" s="3">
        <v>1</v>
      </c>
      <c r="R364" s="3">
        <v>0</v>
      </c>
      <c r="S364" s="3">
        <v>0</v>
      </c>
      <c r="T364" s="3">
        <v>0</v>
      </c>
      <c r="U364" s="3">
        <v>0</v>
      </c>
      <c r="V364" s="3">
        <v>1</v>
      </c>
      <c r="W364" s="3">
        <v>1</v>
      </c>
      <c r="X364" s="3">
        <v>1015</v>
      </c>
      <c r="Y364" s="3">
        <v>0.1</v>
      </c>
      <c r="Z364" s="3">
        <v>0</v>
      </c>
    </row>
    <row r="365" spans="1:120">
      <c r="A365">
        <v>173954</v>
      </c>
      <c r="B365" s="1" t="s">
        <v>1006</v>
      </c>
      <c r="C365" s="1" t="s">
        <v>1016</v>
      </c>
      <c r="D365" s="1" t="str">
        <f>VLOOKUP( 31,Squads!A:E,5,0)</f>
        <v>CRY</v>
      </c>
      <c r="E365" s="1" t="str">
        <f>VLOOKUP( 2,$CX$2:$CY$5,2,0)</f>
        <v>DEF</v>
      </c>
      <c r="F365" s="8">
        <v>2500000</v>
      </c>
      <c r="G365" s="1" t="s">
        <v>1011</v>
      </c>
      <c r="H365" s="1">
        <v>2500000</v>
      </c>
      <c r="I365" s="1">
        <v>2500000</v>
      </c>
      <c r="J365" s="3">
        <v>2500000</v>
      </c>
      <c r="K365" s="3">
        <v>2500000</v>
      </c>
      <c r="L365" s="3">
        <v>-2</v>
      </c>
      <c r="O365" s="3">
        <v>0</v>
      </c>
      <c r="P365" s="3">
        <v>354</v>
      </c>
      <c r="Q365" s="3">
        <v>1</v>
      </c>
      <c r="R365" s="3">
        <v>-2</v>
      </c>
      <c r="S365" s="3">
        <v>-2</v>
      </c>
      <c r="T365" s="3">
        <v>-2</v>
      </c>
      <c r="U365" s="3">
        <v>-2</v>
      </c>
      <c r="V365" s="3">
        <v>-2</v>
      </c>
      <c r="W365" s="3">
        <v>-2</v>
      </c>
      <c r="X365" s="3">
        <v>2052</v>
      </c>
      <c r="Y365" s="3">
        <v>0.2</v>
      </c>
      <c r="Z365" s="3">
        <v>0</v>
      </c>
      <c r="CP365" s="7"/>
      <c r="CR365" s="6"/>
    </row>
    <row r="366" spans="1:120">
      <c r="A366">
        <v>176297</v>
      </c>
      <c r="B366" s="1" t="s">
        <v>65</v>
      </c>
      <c r="C366" s="1" t="s">
        <v>66</v>
      </c>
      <c r="D366" s="1" t="str">
        <f>VLOOKUP( 1,Squads!A:E,5,0)</f>
        <v>MUN</v>
      </c>
      <c r="E366" s="1" t="str">
        <f>VLOOKUP( 4,$CX$2:$CY$5,2,0)</f>
        <v>STR</v>
      </c>
      <c r="F366" s="8">
        <v>4200000</v>
      </c>
      <c r="G366" s="1" t="s">
        <v>0</v>
      </c>
      <c r="H366" s="1">
        <v>4000000</v>
      </c>
      <c r="I366" s="1">
        <v>4000000</v>
      </c>
      <c r="J366" s="3">
        <v>4000000</v>
      </c>
      <c r="K366" s="3">
        <v>4200000</v>
      </c>
      <c r="L366" s="3">
        <v>5</v>
      </c>
      <c r="M366" s="3">
        <v>3</v>
      </c>
      <c r="N366" s="3">
        <v>8</v>
      </c>
      <c r="O366" s="3">
        <v>13</v>
      </c>
      <c r="P366" s="3">
        <v>42</v>
      </c>
      <c r="Q366" s="3">
        <v>3</v>
      </c>
      <c r="R366" s="3">
        <v>16</v>
      </c>
      <c r="S366" s="3">
        <v>5.3</v>
      </c>
      <c r="T366" s="3">
        <v>8</v>
      </c>
      <c r="U366" s="3">
        <v>3</v>
      </c>
      <c r="V366" s="3">
        <v>5.3</v>
      </c>
      <c r="W366" s="3">
        <v>3</v>
      </c>
      <c r="X366" s="3">
        <v>74207</v>
      </c>
      <c r="Y366" s="3">
        <v>6.5</v>
      </c>
      <c r="Z366" s="3">
        <v>0</v>
      </c>
      <c r="CP366" s="7"/>
      <c r="CR366" s="6"/>
    </row>
    <row r="367" spans="1:120">
      <c r="A367">
        <v>177815</v>
      </c>
      <c r="B367" s="1" t="s">
        <v>744</v>
      </c>
      <c r="C367" s="1" t="s">
        <v>1017</v>
      </c>
      <c r="D367" s="1" t="str">
        <f>VLOOKUP( 11,Squads!A:E,5,0)</f>
        <v>EVE</v>
      </c>
      <c r="E367" s="1" t="str">
        <f>VLOOKUP( 4,$CX$2:$CY$5,2,0)</f>
        <v>STR</v>
      </c>
      <c r="F367" s="8">
        <v>1500000</v>
      </c>
      <c r="G367" s="1" t="s">
        <v>0</v>
      </c>
      <c r="H367" s="1">
        <v>1500000</v>
      </c>
      <c r="I367" s="1">
        <v>1500000</v>
      </c>
      <c r="J367" s="3">
        <v>1500000</v>
      </c>
      <c r="K367" s="3">
        <v>1500000</v>
      </c>
      <c r="L367" s="3">
        <v>5</v>
      </c>
      <c r="M367" s="3">
        <v>5</v>
      </c>
      <c r="N367" s="3">
        <v>0</v>
      </c>
      <c r="O367" s="3">
        <v>108</v>
      </c>
      <c r="P367" s="3">
        <v>87</v>
      </c>
      <c r="Q367" s="3">
        <v>5</v>
      </c>
      <c r="R367" s="3">
        <v>10</v>
      </c>
      <c r="S367" s="3">
        <v>2</v>
      </c>
      <c r="T367" s="3">
        <v>5</v>
      </c>
      <c r="U367" s="3">
        <v>0</v>
      </c>
      <c r="V367" s="3">
        <v>1.7</v>
      </c>
      <c r="W367" s="3">
        <v>2</v>
      </c>
      <c r="X367" s="3">
        <v>2290</v>
      </c>
      <c r="Y367" s="3">
        <v>0.2</v>
      </c>
      <c r="Z367" s="3">
        <v>0</v>
      </c>
      <c r="CP367" s="7"/>
      <c r="CR367" s="6"/>
    </row>
    <row r="368" spans="1:120">
      <c r="A368">
        <v>182156</v>
      </c>
      <c r="B368" s="1" t="s">
        <v>350</v>
      </c>
      <c r="C368" s="1" t="s">
        <v>445</v>
      </c>
      <c r="D368" s="1" t="str">
        <f>VLOOKUP( 43,Squads!A:E,5,0)</f>
        <v>MCI</v>
      </c>
      <c r="E368" s="1" t="str">
        <f>VLOOKUP( 3,$CX$2:$CY$5,2,0)</f>
        <v>MID</v>
      </c>
      <c r="F368" s="8">
        <v>4200000</v>
      </c>
      <c r="G368" s="1" t="s">
        <v>0</v>
      </c>
      <c r="H368" s="1">
        <v>4500000</v>
      </c>
      <c r="I368" s="1">
        <v>4500000</v>
      </c>
      <c r="J368" s="3">
        <v>4500000</v>
      </c>
      <c r="K368" s="3">
        <v>4200000</v>
      </c>
      <c r="L368" s="3">
        <v>0</v>
      </c>
      <c r="M368" s="3">
        <v>0</v>
      </c>
      <c r="N368" s="3">
        <v>0</v>
      </c>
      <c r="O368" s="3">
        <v>108</v>
      </c>
      <c r="P368" s="3">
        <v>218</v>
      </c>
      <c r="Q368" s="3">
        <v>3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>
        <v>0</v>
      </c>
      <c r="X368" s="3">
        <v>54272</v>
      </c>
      <c r="Y368" s="3">
        <v>4.8</v>
      </c>
      <c r="Z368" s="3">
        <v>0</v>
      </c>
      <c r="CP368" s="7"/>
      <c r="CR368" s="6"/>
    </row>
    <row r="369" spans="1:207">
      <c r="A369">
        <v>184667</v>
      </c>
      <c r="B369" s="1" t="s">
        <v>144</v>
      </c>
      <c r="C369" s="1" t="s">
        <v>808</v>
      </c>
      <c r="D369" s="1" t="str">
        <f>VLOOKUP( 1,Squads!A:E,5,0)</f>
        <v>MUN</v>
      </c>
      <c r="E369" s="1" t="str">
        <f>VLOOKUP( 2,$CX$2:$CY$5,2,0)</f>
        <v>DEF</v>
      </c>
      <c r="F369" s="8">
        <v>4000000</v>
      </c>
      <c r="G369" s="1" t="s">
        <v>0</v>
      </c>
      <c r="H369" s="1">
        <v>4000000</v>
      </c>
      <c r="I369" s="1">
        <v>4000000</v>
      </c>
      <c r="J369" s="3">
        <v>4000000</v>
      </c>
      <c r="K369" s="3">
        <v>4000000</v>
      </c>
      <c r="O369" s="3">
        <v>0</v>
      </c>
      <c r="P369" s="3">
        <v>218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>
        <v>0</v>
      </c>
      <c r="X369" s="3">
        <v>62331</v>
      </c>
      <c r="Y369" s="3">
        <v>5.5</v>
      </c>
      <c r="Z369" s="3">
        <v>0</v>
      </c>
      <c r="CP369" s="7"/>
      <c r="CR369" s="6"/>
    </row>
    <row r="370" spans="1:207">
      <c r="A370">
        <v>194164</v>
      </c>
      <c r="B370" s="1" t="s">
        <v>370</v>
      </c>
      <c r="C370" s="1" t="s">
        <v>461</v>
      </c>
      <c r="D370" s="1" t="str">
        <f>VLOOKUP( 11,Squads!A:E,5,0)</f>
        <v>EVE</v>
      </c>
      <c r="E370" s="1" t="str">
        <f>VLOOKUP( 2,$CX$2:$CY$5,2,0)</f>
        <v>DEF</v>
      </c>
      <c r="F370" s="8">
        <v>1800000</v>
      </c>
      <c r="G370" s="1" t="s">
        <v>0</v>
      </c>
      <c r="H370" s="1">
        <v>2000000</v>
      </c>
      <c r="I370" s="1">
        <v>2000000</v>
      </c>
      <c r="J370" s="3">
        <v>2000000</v>
      </c>
      <c r="K370" s="3">
        <v>1800000</v>
      </c>
      <c r="M370" s="3">
        <v>0</v>
      </c>
      <c r="N370" s="3">
        <v>-1</v>
      </c>
      <c r="O370" s="3">
        <v>199</v>
      </c>
      <c r="P370" s="3">
        <v>342</v>
      </c>
      <c r="Q370" s="3">
        <v>2</v>
      </c>
      <c r="R370" s="3">
        <v>-1</v>
      </c>
      <c r="S370" s="3">
        <v>-0.5</v>
      </c>
      <c r="T370" s="3">
        <v>0</v>
      </c>
      <c r="U370" s="3">
        <v>-1</v>
      </c>
      <c r="V370" s="3">
        <v>2</v>
      </c>
      <c r="W370" s="3">
        <v>2.8</v>
      </c>
      <c r="X370" s="3">
        <v>12915</v>
      </c>
      <c r="Y370" s="3">
        <v>1.1000000000000001</v>
      </c>
      <c r="Z370" s="3">
        <v>0</v>
      </c>
      <c r="CP370" s="7"/>
      <c r="CR370" s="6"/>
    </row>
    <row r="371" spans="1:207">
      <c r="A371">
        <v>197365</v>
      </c>
      <c r="B371" s="1" t="s">
        <v>11</v>
      </c>
      <c r="C371" s="1" t="s">
        <v>12</v>
      </c>
      <c r="D371" s="1" t="str">
        <f>VLOOKUP( 1,Squads!A:E,5,0)</f>
        <v>MUN</v>
      </c>
      <c r="E371" s="1" t="str">
        <f>VLOOKUP( 2,$CX$2:$CY$5,2,0)</f>
        <v>DEF</v>
      </c>
      <c r="F371" s="8">
        <v>4800000</v>
      </c>
      <c r="G371" s="1" t="s">
        <v>0</v>
      </c>
      <c r="H371" s="1">
        <v>4500000</v>
      </c>
      <c r="I371" s="1">
        <v>4500000</v>
      </c>
      <c r="J371" s="3">
        <v>4500000</v>
      </c>
      <c r="K371" s="3">
        <v>4800000</v>
      </c>
      <c r="L371" s="3">
        <v>4</v>
      </c>
      <c r="M371" s="3">
        <v>13</v>
      </c>
      <c r="N371" s="3">
        <v>8</v>
      </c>
      <c r="O371" s="3">
        <v>13</v>
      </c>
      <c r="P371" s="3">
        <v>8</v>
      </c>
      <c r="Q371" s="3">
        <v>3</v>
      </c>
      <c r="R371" s="3">
        <v>25</v>
      </c>
      <c r="S371" s="3">
        <v>8.3000000000000007</v>
      </c>
      <c r="T371" s="3">
        <v>13</v>
      </c>
      <c r="U371" s="3">
        <v>4</v>
      </c>
      <c r="V371" s="3">
        <v>8.3000000000000007</v>
      </c>
      <c r="W371" s="3">
        <v>7.2</v>
      </c>
      <c r="X371" s="3">
        <v>273823</v>
      </c>
      <c r="Y371" s="3">
        <v>24</v>
      </c>
      <c r="Z371" s="3">
        <v>0</v>
      </c>
      <c r="CP371" s="7"/>
      <c r="CR371" s="6"/>
      <c r="GY371" s="2"/>
    </row>
    <row r="372" spans="1:207">
      <c r="A372">
        <v>201084</v>
      </c>
      <c r="B372" s="1" t="s">
        <v>1019</v>
      </c>
      <c r="C372" s="1" t="s">
        <v>1020</v>
      </c>
      <c r="D372" s="1" t="str">
        <f>VLOOKUP( 31,Squads!A:E,5,0)</f>
        <v>CRY</v>
      </c>
      <c r="E372" s="1" t="str">
        <f>VLOOKUP( 2,$CX$2:$CY$5,2,0)</f>
        <v>DEF</v>
      </c>
      <c r="F372" s="8">
        <v>1400000</v>
      </c>
      <c r="G372" s="1" t="s">
        <v>0</v>
      </c>
      <c r="H372" s="1">
        <v>1500000</v>
      </c>
      <c r="I372" s="1">
        <v>1500000</v>
      </c>
      <c r="J372" s="3">
        <v>1500000</v>
      </c>
      <c r="K372" s="3">
        <v>1400000</v>
      </c>
      <c r="L372" s="3">
        <v>-2</v>
      </c>
      <c r="M372" s="3">
        <v>3</v>
      </c>
      <c r="N372" s="3">
        <v>-1</v>
      </c>
      <c r="O372" s="3">
        <v>199</v>
      </c>
      <c r="P372" s="3">
        <v>218</v>
      </c>
      <c r="Q372" s="3">
        <v>4</v>
      </c>
      <c r="R372" s="3">
        <v>0</v>
      </c>
      <c r="S372" s="3">
        <v>0</v>
      </c>
      <c r="T372" s="3">
        <v>3</v>
      </c>
      <c r="U372" s="3">
        <v>-2</v>
      </c>
      <c r="V372" s="3">
        <v>0.7</v>
      </c>
      <c r="W372" s="3">
        <v>-0.2</v>
      </c>
      <c r="X372" s="3">
        <v>28436</v>
      </c>
      <c r="Y372" s="3">
        <v>2.5</v>
      </c>
      <c r="Z372" s="3">
        <v>0</v>
      </c>
      <c r="CP372" s="7"/>
      <c r="CR372" s="6"/>
    </row>
    <row r="373" spans="1:207">
      <c r="A373">
        <v>203341</v>
      </c>
      <c r="B373" s="1" t="s">
        <v>608</v>
      </c>
      <c r="C373" s="1" t="s">
        <v>609</v>
      </c>
      <c r="D373" s="1" t="str">
        <f>VLOOKUP( 13,Squads!A:E,5,0)</f>
        <v>LEI</v>
      </c>
      <c r="E373" s="1" t="str">
        <f>VLOOKUP( 3,$CX$2:$CY$5,2,0)</f>
        <v>MID</v>
      </c>
      <c r="F373" s="8">
        <v>3300000</v>
      </c>
      <c r="G373" s="1" t="s">
        <v>0</v>
      </c>
      <c r="H373" s="1">
        <v>3500000</v>
      </c>
      <c r="I373" s="1">
        <v>3500000</v>
      </c>
      <c r="J373" s="3">
        <v>3500000</v>
      </c>
      <c r="K373" s="3">
        <v>3300000</v>
      </c>
      <c r="L373" s="3">
        <v>0</v>
      </c>
      <c r="M373" s="3">
        <v>6</v>
      </c>
      <c r="N373" s="3">
        <v>0</v>
      </c>
      <c r="O373" s="3">
        <v>108</v>
      </c>
      <c r="P373" s="3">
        <v>139</v>
      </c>
      <c r="Q373" s="3">
        <v>4</v>
      </c>
      <c r="R373" s="3">
        <v>6</v>
      </c>
      <c r="S373" s="3">
        <v>1.5</v>
      </c>
      <c r="T373" s="3">
        <v>3</v>
      </c>
      <c r="U373" s="3">
        <v>0</v>
      </c>
      <c r="V373" s="3">
        <v>2</v>
      </c>
      <c r="W373" s="3">
        <v>1.2</v>
      </c>
      <c r="X373" s="3">
        <v>1747</v>
      </c>
      <c r="Y373" s="3">
        <v>0.2</v>
      </c>
      <c r="Z373" s="3">
        <v>0</v>
      </c>
    </row>
    <row r="374" spans="1:207">
      <c r="A374">
        <v>205651</v>
      </c>
      <c r="B374" s="1" t="s">
        <v>112</v>
      </c>
      <c r="C374" s="1" t="s">
        <v>393</v>
      </c>
      <c r="D374" s="1" t="str">
        <f>VLOOKUP( 43,Squads!A:E,5,0)</f>
        <v>MCI</v>
      </c>
      <c r="E374" s="1" t="str">
        <f>VLOOKUP( 4,$CX$2:$CY$5,2,0)</f>
        <v>STR</v>
      </c>
      <c r="F374" s="8">
        <v>4900000</v>
      </c>
      <c r="G374" s="1" t="s">
        <v>0</v>
      </c>
      <c r="H374" s="1">
        <v>5000000</v>
      </c>
      <c r="I374" s="1">
        <v>5000000</v>
      </c>
      <c r="J374" s="3">
        <v>5000000</v>
      </c>
      <c r="K374" s="3">
        <v>4900000</v>
      </c>
      <c r="L374" s="3">
        <v>-1</v>
      </c>
      <c r="M374" s="3">
        <v>0</v>
      </c>
      <c r="N374" s="3">
        <v>8</v>
      </c>
      <c r="O374" s="3">
        <v>13</v>
      </c>
      <c r="P374" s="3">
        <v>124</v>
      </c>
      <c r="Q374" s="3">
        <v>3</v>
      </c>
      <c r="R374" s="3">
        <v>7</v>
      </c>
      <c r="S374" s="3">
        <v>2.2999999999999998</v>
      </c>
      <c r="T374" s="3">
        <v>8</v>
      </c>
      <c r="U374" s="3">
        <v>-1</v>
      </c>
      <c r="V374" s="3">
        <v>2.2999999999999998</v>
      </c>
      <c r="W374" s="3">
        <v>3</v>
      </c>
      <c r="X374" s="3">
        <v>190453</v>
      </c>
      <c r="Y374" s="3">
        <v>16.7</v>
      </c>
      <c r="Z374" s="3">
        <v>0</v>
      </c>
    </row>
    <row r="375" spans="1:207">
      <c r="A375">
        <v>212319</v>
      </c>
      <c r="C375" s="1" t="s">
        <v>1336</v>
      </c>
      <c r="D375" s="1" t="str">
        <f>VLOOKUP( 57,Squads!A:E,5,0)</f>
        <v>WAT</v>
      </c>
      <c r="E375" s="1" t="str">
        <f>VLOOKUP( 4,$CX$2:$CY$5,2,0)</f>
        <v>STR</v>
      </c>
      <c r="F375" s="8">
        <v>2700000</v>
      </c>
      <c r="G375" s="1" t="s">
        <v>0</v>
      </c>
      <c r="I375" s="1">
        <v>2500000</v>
      </c>
      <c r="J375" s="3">
        <v>2500000</v>
      </c>
      <c r="K375" s="3">
        <v>2700000</v>
      </c>
      <c r="L375" s="3">
        <v>0</v>
      </c>
      <c r="M375" s="3">
        <v>13</v>
      </c>
      <c r="N375" s="3">
        <v>3</v>
      </c>
      <c r="O375" s="3">
        <v>71</v>
      </c>
      <c r="P375" s="3">
        <v>42</v>
      </c>
      <c r="Q375" s="3">
        <v>4</v>
      </c>
      <c r="R375" s="3">
        <v>16</v>
      </c>
      <c r="S375" s="3">
        <v>4</v>
      </c>
      <c r="T375" s="3">
        <v>13</v>
      </c>
      <c r="U375" s="3">
        <v>0</v>
      </c>
      <c r="V375" s="3">
        <v>5.3</v>
      </c>
      <c r="W375" s="3">
        <v>4</v>
      </c>
      <c r="X375" s="3">
        <v>553</v>
      </c>
      <c r="Y375" s="3">
        <v>0</v>
      </c>
      <c r="Z375" s="3">
        <v>0</v>
      </c>
    </row>
    <row r="376" spans="1:207">
      <c r="A376">
        <v>219352</v>
      </c>
      <c r="B376" s="1" t="s">
        <v>610</v>
      </c>
      <c r="C376" s="1" t="s">
        <v>611</v>
      </c>
      <c r="D376" s="1" t="str">
        <f>VLOOKUP( 11,Squads!A:E,5,0)</f>
        <v>EVE</v>
      </c>
      <c r="E376" s="1" t="str">
        <f>VLOOKUP( 4,$CX$2:$CY$5,2,0)</f>
        <v>STR</v>
      </c>
      <c r="F376" s="8">
        <v>1500000</v>
      </c>
      <c r="G376" s="1" t="s">
        <v>0</v>
      </c>
      <c r="H376" s="1">
        <v>1500000</v>
      </c>
      <c r="I376" s="1">
        <v>1500000</v>
      </c>
      <c r="J376" s="3">
        <v>1500000</v>
      </c>
      <c r="K376" s="3">
        <v>1500000</v>
      </c>
      <c r="L376" s="3">
        <v>3</v>
      </c>
      <c r="M376" s="3">
        <v>0</v>
      </c>
      <c r="O376" s="3">
        <v>0</v>
      </c>
      <c r="P376" s="3">
        <v>178</v>
      </c>
      <c r="Q376" s="3">
        <v>2</v>
      </c>
      <c r="R376" s="3">
        <v>3</v>
      </c>
      <c r="S376" s="3">
        <v>1.5</v>
      </c>
      <c r="T376" s="3">
        <v>3</v>
      </c>
      <c r="U376" s="3">
        <v>0</v>
      </c>
      <c r="V376" s="3">
        <v>1</v>
      </c>
      <c r="W376" s="3">
        <v>2.2000000000000002</v>
      </c>
      <c r="X376" s="3">
        <v>1127</v>
      </c>
      <c r="Y376" s="3">
        <v>0.1</v>
      </c>
      <c r="Z376" s="3">
        <v>0</v>
      </c>
    </row>
    <row r="414" spans="84:96">
      <c r="CF414" s="4"/>
    </row>
    <row r="415" spans="84:96">
      <c r="CP415" s="7"/>
      <c r="CR415" s="6"/>
    </row>
    <row r="416" spans="84:96">
      <c r="CP416" s="7"/>
      <c r="CR416" s="6"/>
    </row>
    <row r="417" spans="94:96">
      <c r="CP417" s="7"/>
      <c r="CR417" s="6"/>
    </row>
    <row r="418" spans="94:96">
      <c r="CP418" s="7"/>
      <c r="CR418" s="6"/>
    </row>
    <row r="419" spans="94:96">
      <c r="CP419" s="7"/>
      <c r="CR419" s="6"/>
    </row>
    <row r="420" spans="94:96">
      <c r="CP420" s="7"/>
      <c r="CR420" s="6"/>
    </row>
    <row r="421" spans="94:96">
      <c r="CP421" s="7"/>
      <c r="CR421" s="6"/>
    </row>
    <row r="422" spans="94:96">
      <c r="CP422" s="7"/>
      <c r="CR422" s="6"/>
    </row>
    <row r="423" spans="94:96">
      <c r="CP423" s="7"/>
      <c r="CR423" s="6"/>
    </row>
    <row r="424" spans="94:96">
      <c r="CP424" s="7"/>
      <c r="CR424" s="6"/>
    </row>
    <row r="425" spans="94:96">
      <c r="CP425" s="7"/>
      <c r="CR425" s="6"/>
    </row>
    <row r="426" spans="94:96">
      <c r="CP426" s="7"/>
      <c r="CR426" s="6"/>
    </row>
    <row r="427" spans="94:96">
      <c r="CP427" s="7"/>
      <c r="CR427" s="6"/>
    </row>
    <row r="452" spans="84:96">
      <c r="CF452" s="4"/>
    </row>
    <row r="453" spans="84:96">
      <c r="CF453" s="4"/>
    </row>
    <row r="454" spans="84:96">
      <c r="CF454" s="4"/>
      <c r="CP454" s="7"/>
      <c r="CR454" s="6"/>
    </row>
    <row r="455" spans="84:96">
      <c r="CF455" s="4"/>
      <c r="CP455" s="7"/>
      <c r="CR455" s="6"/>
    </row>
    <row r="456" spans="84:96">
      <c r="CP456" s="7"/>
      <c r="CR456" s="6"/>
    </row>
    <row r="457" spans="84:96">
      <c r="CP457" s="7"/>
      <c r="CR457" s="6"/>
    </row>
    <row r="458" spans="84:96">
      <c r="CP458" s="7"/>
      <c r="CR458" s="6"/>
    </row>
    <row r="459" spans="84:96">
      <c r="CP459" s="7"/>
      <c r="CR459" s="6"/>
    </row>
    <row r="460" spans="84:96">
      <c r="CP460" s="7"/>
      <c r="CR460" s="6"/>
    </row>
    <row r="461" spans="84:96">
      <c r="CP461" s="7"/>
      <c r="CR461" s="6"/>
    </row>
    <row r="462" spans="84:96">
      <c r="CP462" s="7"/>
      <c r="CR462" s="6"/>
    </row>
    <row r="463" spans="84:96">
      <c r="CP463" s="7"/>
      <c r="CR463" s="6"/>
    </row>
    <row r="464" spans="84:96">
      <c r="CP464" s="7"/>
      <c r="CR464" s="6"/>
    </row>
    <row r="465" spans="94:96">
      <c r="CP465" s="7"/>
      <c r="CR465" s="6"/>
    </row>
    <row r="466" spans="94:96">
      <c r="CP466" s="7"/>
      <c r="CR466" s="6"/>
    </row>
    <row r="467" spans="94:96">
      <c r="CP467" s="7"/>
      <c r="CR467" s="6"/>
    </row>
    <row r="494" spans="53:84"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</row>
  </sheetData>
  <sortState ref="A2:U328">
    <sortCondition ref="S2"/>
  </sortState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144"/>
  <sheetViews>
    <sheetView workbookViewId="0"/>
  </sheetViews>
  <sheetFormatPr defaultRowHeight="15"/>
  <cols>
    <col min="1" max="1" width="5" bestFit="1" customWidth="1"/>
    <col min="2" max="2" width="5.85546875" bestFit="1" customWidth="1"/>
    <col min="3" max="4" width="25.5703125" bestFit="1" customWidth="1"/>
    <col min="5" max="5" width="11.85546875" bestFit="1" customWidth="1"/>
  </cols>
  <sheetData>
    <row r="1" spans="1:5">
      <c r="A1" t="s">
        <v>20</v>
      </c>
      <c r="B1" t="s">
        <v>451</v>
      </c>
      <c r="C1" t="s">
        <v>591</v>
      </c>
      <c r="D1" t="s">
        <v>592</v>
      </c>
      <c r="E1" t="s">
        <v>593</v>
      </c>
    </row>
    <row r="2" spans="1:5">
      <c r="A2">
        <v>387</v>
      </c>
      <c r="B2">
        <v>6</v>
      </c>
      <c r="C2" t="s">
        <v>1304</v>
      </c>
      <c r="D2" t="s">
        <v>1304</v>
      </c>
      <c r="E2" t="s">
        <v>1304</v>
      </c>
    </row>
    <row r="3" spans="1:5">
      <c r="A3">
        <v>888</v>
      </c>
      <c r="B3">
        <v>2</v>
      </c>
      <c r="C3" t="s">
        <v>488</v>
      </c>
      <c r="D3" t="s">
        <v>488</v>
      </c>
      <c r="E3" t="s">
        <v>489</v>
      </c>
    </row>
    <row r="4" spans="1:5">
      <c r="A4">
        <v>215</v>
      </c>
      <c r="B4">
        <v>6</v>
      </c>
      <c r="C4" t="s">
        <v>612</v>
      </c>
      <c r="D4" t="s">
        <v>612</v>
      </c>
      <c r="E4" t="s">
        <v>613</v>
      </c>
    </row>
    <row r="5" spans="1:5">
      <c r="A5">
        <v>479</v>
      </c>
      <c r="B5">
        <v>6</v>
      </c>
      <c r="C5" t="s">
        <v>614</v>
      </c>
      <c r="D5" t="s">
        <v>614</v>
      </c>
      <c r="E5" t="s">
        <v>615</v>
      </c>
    </row>
    <row r="6" spans="1:5">
      <c r="A6">
        <v>1003</v>
      </c>
      <c r="B6">
        <v>6</v>
      </c>
      <c r="C6" t="s">
        <v>1305</v>
      </c>
      <c r="D6" t="s">
        <v>1305</v>
      </c>
      <c r="E6" t="s">
        <v>1306</v>
      </c>
    </row>
    <row r="7" spans="1:5">
      <c r="A7">
        <v>3</v>
      </c>
      <c r="B7">
        <v>8</v>
      </c>
      <c r="C7" t="s">
        <v>490</v>
      </c>
      <c r="D7" t="s">
        <v>490</v>
      </c>
      <c r="E7" t="s">
        <v>491</v>
      </c>
    </row>
    <row r="8" spans="1:5">
      <c r="A8">
        <v>7</v>
      </c>
      <c r="B8">
        <v>1</v>
      </c>
      <c r="C8" t="s">
        <v>616</v>
      </c>
      <c r="D8" t="s">
        <v>616</v>
      </c>
      <c r="E8" t="s">
        <v>617</v>
      </c>
    </row>
    <row r="9" spans="1:5">
      <c r="A9">
        <v>4004</v>
      </c>
      <c r="B9">
        <v>524</v>
      </c>
      <c r="C9" t="s">
        <v>492</v>
      </c>
      <c r="D9" t="s">
        <v>492</v>
      </c>
      <c r="E9" t="s">
        <v>493</v>
      </c>
    </row>
    <row r="10" spans="1:5">
      <c r="A10">
        <v>456</v>
      </c>
      <c r="B10">
        <v>6</v>
      </c>
      <c r="C10" t="s">
        <v>1307</v>
      </c>
      <c r="D10" t="s">
        <v>1307</v>
      </c>
      <c r="E10" t="s">
        <v>1307</v>
      </c>
    </row>
    <row r="11" spans="1:5">
      <c r="A11">
        <v>174</v>
      </c>
      <c r="B11">
        <v>6</v>
      </c>
      <c r="C11" t="s">
        <v>618</v>
      </c>
      <c r="D11" t="s">
        <v>618</v>
      </c>
      <c r="E11" t="s">
        <v>619</v>
      </c>
    </row>
    <row r="12" spans="1:5">
      <c r="A12">
        <v>175</v>
      </c>
      <c r="B12">
        <v>5</v>
      </c>
      <c r="C12" t="s">
        <v>620</v>
      </c>
      <c r="D12" t="s">
        <v>620</v>
      </c>
      <c r="E12" t="s">
        <v>621</v>
      </c>
    </row>
    <row r="13" spans="1:5">
      <c r="A13">
        <v>313</v>
      </c>
      <c r="B13">
        <v>6</v>
      </c>
      <c r="C13" t="s">
        <v>622</v>
      </c>
      <c r="D13" t="s">
        <v>622</v>
      </c>
      <c r="E13" t="s">
        <v>622</v>
      </c>
    </row>
    <row r="14" spans="1:5">
      <c r="A14">
        <v>178</v>
      </c>
      <c r="B14">
        <v>5</v>
      </c>
      <c r="C14" t="s">
        <v>494</v>
      </c>
      <c r="D14" t="s">
        <v>494</v>
      </c>
      <c r="E14" t="s">
        <v>623</v>
      </c>
    </row>
    <row r="15" spans="1:5">
      <c r="A15">
        <v>34</v>
      </c>
      <c r="B15">
        <v>2</v>
      </c>
      <c r="C15" t="s">
        <v>1022</v>
      </c>
      <c r="D15" t="s">
        <v>1022</v>
      </c>
      <c r="E15" t="s">
        <v>1022</v>
      </c>
    </row>
    <row r="16" spans="1:5">
      <c r="A16">
        <v>37</v>
      </c>
      <c r="B16">
        <v>2</v>
      </c>
      <c r="C16" t="s">
        <v>624</v>
      </c>
      <c r="D16" t="s">
        <v>624</v>
      </c>
      <c r="E16" t="s">
        <v>624</v>
      </c>
    </row>
    <row r="17" spans="1:5">
      <c r="A17">
        <v>2155</v>
      </c>
      <c r="B17">
        <v>6</v>
      </c>
      <c r="C17" t="s">
        <v>1308</v>
      </c>
      <c r="D17" t="s">
        <v>1308</v>
      </c>
      <c r="E17" t="s">
        <v>1309</v>
      </c>
    </row>
    <row r="18" spans="1:5">
      <c r="A18">
        <v>164</v>
      </c>
      <c r="B18">
        <v>5</v>
      </c>
      <c r="C18" t="s">
        <v>495</v>
      </c>
      <c r="D18" t="s">
        <v>495</v>
      </c>
      <c r="E18" t="s">
        <v>625</v>
      </c>
    </row>
    <row r="19" spans="1:5">
      <c r="A19">
        <v>251</v>
      </c>
      <c r="B19">
        <v>5</v>
      </c>
      <c r="C19" t="s">
        <v>626</v>
      </c>
      <c r="D19" t="s">
        <v>626</v>
      </c>
      <c r="E19" t="s">
        <v>627</v>
      </c>
    </row>
    <row r="20" spans="1:5">
      <c r="A20">
        <v>378</v>
      </c>
      <c r="B20">
        <v>6</v>
      </c>
      <c r="C20" t="s">
        <v>628</v>
      </c>
      <c r="D20" t="s">
        <v>628</v>
      </c>
      <c r="E20" t="s">
        <v>629</v>
      </c>
    </row>
    <row r="21" spans="1:5">
      <c r="A21">
        <v>41</v>
      </c>
      <c r="B21">
        <v>2</v>
      </c>
      <c r="C21" t="s">
        <v>1023</v>
      </c>
      <c r="D21" t="s">
        <v>1023</v>
      </c>
      <c r="E21" t="s">
        <v>1024</v>
      </c>
    </row>
    <row r="22" spans="1:5">
      <c r="A22">
        <v>5</v>
      </c>
      <c r="B22">
        <v>1</v>
      </c>
      <c r="C22" t="s">
        <v>630</v>
      </c>
      <c r="D22" t="s">
        <v>630</v>
      </c>
      <c r="E22" t="s">
        <v>631</v>
      </c>
    </row>
    <row r="23" spans="1:5">
      <c r="A23">
        <v>92</v>
      </c>
      <c r="B23">
        <v>2</v>
      </c>
      <c r="C23" t="s">
        <v>496</v>
      </c>
      <c r="D23" t="s">
        <v>496</v>
      </c>
      <c r="E23" t="s">
        <v>496</v>
      </c>
    </row>
    <row r="24" spans="1:5">
      <c r="A24">
        <v>30</v>
      </c>
      <c r="B24">
        <v>1</v>
      </c>
      <c r="C24" t="s">
        <v>632</v>
      </c>
      <c r="D24" t="s">
        <v>632</v>
      </c>
      <c r="E24" t="s">
        <v>633</v>
      </c>
    </row>
    <row r="25" spans="1:5">
      <c r="A25">
        <v>140</v>
      </c>
      <c r="B25">
        <v>6</v>
      </c>
      <c r="C25" t="s">
        <v>634</v>
      </c>
      <c r="D25" t="s">
        <v>634</v>
      </c>
      <c r="E25" t="s">
        <v>635</v>
      </c>
    </row>
    <row r="26" spans="1:5">
      <c r="A26">
        <v>157</v>
      </c>
      <c r="B26">
        <v>5</v>
      </c>
      <c r="C26" t="s">
        <v>636</v>
      </c>
      <c r="D26" t="s">
        <v>636</v>
      </c>
      <c r="E26" t="s">
        <v>637</v>
      </c>
    </row>
    <row r="27" spans="1:5">
      <c r="A27">
        <v>683</v>
      </c>
      <c r="B27">
        <v>5</v>
      </c>
      <c r="C27" t="s">
        <v>497</v>
      </c>
      <c r="D27" t="s">
        <v>497</v>
      </c>
      <c r="E27" t="s">
        <v>638</v>
      </c>
    </row>
    <row r="28" spans="1:5">
      <c r="A28">
        <v>91</v>
      </c>
      <c r="B28">
        <v>8</v>
      </c>
      <c r="C28" t="s">
        <v>498</v>
      </c>
      <c r="D28" t="s">
        <v>498</v>
      </c>
      <c r="E28" t="s">
        <v>499</v>
      </c>
    </row>
    <row r="29" spans="1:5">
      <c r="A29">
        <v>94</v>
      </c>
      <c r="B29">
        <v>1</v>
      </c>
      <c r="C29" t="s">
        <v>639</v>
      </c>
      <c r="D29" t="s">
        <v>639</v>
      </c>
      <c r="E29" t="s">
        <v>639</v>
      </c>
    </row>
    <row r="30" spans="1:5">
      <c r="A30">
        <v>36</v>
      </c>
      <c r="B30">
        <v>8</v>
      </c>
      <c r="C30" t="s">
        <v>830</v>
      </c>
      <c r="D30" t="s">
        <v>830</v>
      </c>
      <c r="E30" t="s">
        <v>831</v>
      </c>
    </row>
    <row r="31" spans="1:5">
      <c r="A31">
        <v>113</v>
      </c>
      <c r="B31">
        <v>2</v>
      </c>
      <c r="C31" t="s">
        <v>598</v>
      </c>
      <c r="D31" t="s">
        <v>598</v>
      </c>
      <c r="E31" t="s">
        <v>599</v>
      </c>
    </row>
    <row r="32" spans="1:5">
      <c r="A32">
        <v>96</v>
      </c>
      <c r="B32">
        <v>2</v>
      </c>
      <c r="C32" t="s">
        <v>500</v>
      </c>
      <c r="D32" t="s">
        <v>500</v>
      </c>
      <c r="E32" t="s">
        <v>501</v>
      </c>
    </row>
    <row r="33" spans="1:5">
      <c r="A33">
        <v>90</v>
      </c>
      <c r="B33">
        <v>8</v>
      </c>
      <c r="C33" t="s">
        <v>502</v>
      </c>
      <c r="D33" t="s">
        <v>502</v>
      </c>
      <c r="E33" t="s">
        <v>503</v>
      </c>
    </row>
    <row r="34" spans="1:5">
      <c r="A34">
        <v>587</v>
      </c>
      <c r="B34">
        <v>2</v>
      </c>
      <c r="C34" t="s">
        <v>504</v>
      </c>
      <c r="D34" t="s">
        <v>504</v>
      </c>
      <c r="E34" t="s">
        <v>505</v>
      </c>
    </row>
    <row r="35" spans="1:5">
      <c r="A35">
        <v>95</v>
      </c>
      <c r="B35">
        <v>2</v>
      </c>
      <c r="C35" t="s">
        <v>640</v>
      </c>
      <c r="D35" t="s">
        <v>640</v>
      </c>
      <c r="E35" t="s">
        <v>640</v>
      </c>
    </row>
    <row r="36" spans="1:5">
      <c r="A36">
        <v>176</v>
      </c>
      <c r="B36">
        <v>6</v>
      </c>
      <c r="C36" t="s">
        <v>641</v>
      </c>
      <c r="D36" t="s">
        <v>641</v>
      </c>
      <c r="E36" t="s">
        <v>642</v>
      </c>
    </row>
    <row r="37" spans="1:5">
      <c r="A37">
        <v>61</v>
      </c>
      <c r="B37">
        <v>5</v>
      </c>
      <c r="C37" t="s">
        <v>506</v>
      </c>
      <c r="D37" t="s">
        <v>506</v>
      </c>
      <c r="E37" t="s">
        <v>643</v>
      </c>
    </row>
    <row r="38" spans="1:5">
      <c r="A38">
        <v>8</v>
      </c>
      <c r="B38">
        <v>8</v>
      </c>
      <c r="C38" t="s">
        <v>507</v>
      </c>
      <c r="D38" t="s">
        <v>507</v>
      </c>
      <c r="E38" t="s">
        <v>508</v>
      </c>
    </row>
    <row r="39" spans="1:5">
      <c r="A39">
        <v>87</v>
      </c>
      <c r="B39">
        <v>2</v>
      </c>
      <c r="C39" t="s">
        <v>1025</v>
      </c>
      <c r="D39" t="s">
        <v>1025</v>
      </c>
      <c r="E39" t="s">
        <v>1026</v>
      </c>
    </row>
    <row r="40" spans="1:5">
      <c r="A40">
        <v>413</v>
      </c>
      <c r="B40">
        <v>5</v>
      </c>
      <c r="C40" t="s">
        <v>509</v>
      </c>
      <c r="D40" t="s">
        <v>509</v>
      </c>
      <c r="E40" t="s">
        <v>644</v>
      </c>
    </row>
    <row r="41" spans="1:5">
      <c r="A41">
        <v>214</v>
      </c>
      <c r="B41">
        <v>6</v>
      </c>
      <c r="C41" t="s">
        <v>1310</v>
      </c>
      <c r="D41" t="s">
        <v>1310</v>
      </c>
      <c r="E41" t="s">
        <v>1311</v>
      </c>
    </row>
    <row r="42" spans="1:5">
      <c r="A42">
        <v>31</v>
      </c>
      <c r="B42">
        <v>8</v>
      </c>
      <c r="C42" t="s">
        <v>510</v>
      </c>
      <c r="D42" t="s">
        <v>510</v>
      </c>
      <c r="E42" t="s">
        <v>511</v>
      </c>
    </row>
    <row r="43" spans="1:5">
      <c r="A43">
        <v>1340</v>
      </c>
      <c r="B43">
        <v>5</v>
      </c>
      <c r="C43" t="s">
        <v>512</v>
      </c>
      <c r="D43" t="s">
        <v>512</v>
      </c>
      <c r="E43" t="s">
        <v>645</v>
      </c>
    </row>
    <row r="44" spans="1:5">
      <c r="A44">
        <v>24</v>
      </c>
      <c r="B44">
        <v>2</v>
      </c>
      <c r="C44" t="s">
        <v>513</v>
      </c>
      <c r="D44" t="s">
        <v>513</v>
      </c>
      <c r="E44" t="s">
        <v>514</v>
      </c>
    </row>
    <row r="45" spans="1:5">
      <c r="A45">
        <v>394</v>
      </c>
      <c r="B45">
        <v>5</v>
      </c>
      <c r="C45" t="s">
        <v>646</v>
      </c>
      <c r="D45" t="s">
        <v>646</v>
      </c>
      <c r="E45" t="s">
        <v>647</v>
      </c>
    </row>
    <row r="46" spans="1:5">
      <c r="A46">
        <v>290</v>
      </c>
      <c r="B46">
        <v>2</v>
      </c>
      <c r="C46" t="s">
        <v>1312</v>
      </c>
      <c r="D46" t="s">
        <v>1312</v>
      </c>
      <c r="E46" t="s">
        <v>1313</v>
      </c>
    </row>
    <row r="47" spans="1:5">
      <c r="A47">
        <v>11</v>
      </c>
      <c r="B47">
        <v>8</v>
      </c>
      <c r="C47" t="s">
        <v>515</v>
      </c>
      <c r="D47" t="s">
        <v>515</v>
      </c>
      <c r="E47" t="s">
        <v>516</v>
      </c>
    </row>
    <row r="48" spans="1:5">
      <c r="A48">
        <v>71</v>
      </c>
      <c r="B48">
        <v>2</v>
      </c>
      <c r="C48" t="s">
        <v>517</v>
      </c>
      <c r="D48" t="s">
        <v>517</v>
      </c>
      <c r="E48" t="s">
        <v>518</v>
      </c>
    </row>
    <row r="49" spans="1:5">
      <c r="A49">
        <v>481</v>
      </c>
      <c r="B49">
        <v>5</v>
      </c>
      <c r="C49" t="s">
        <v>519</v>
      </c>
      <c r="D49" t="s">
        <v>519</v>
      </c>
      <c r="E49" t="s">
        <v>648</v>
      </c>
    </row>
    <row r="50" spans="1:5">
      <c r="A50">
        <v>156</v>
      </c>
      <c r="B50">
        <v>5</v>
      </c>
      <c r="C50" t="s">
        <v>649</v>
      </c>
      <c r="D50" t="s">
        <v>649</v>
      </c>
      <c r="E50" t="s">
        <v>650</v>
      </c>
    </row>
    <row r="51" spans="1:5">
      <c r="A51">
        <v>569</v>
      </c>
      <c r="B51">
        <v>5</v>
      </c>
      <c r="C51" t="s">
        <v>520</v>
      </c>
      <c r="D51" t="s">
        <v>520</v>
      </c>
      <c r="E51" t="s">
        <v>651</v>
      </c>
    </row>
    <row r="52" spans="1:5">
      <c r="A52">
        <v>1000</v>
      </c>
      <c r="B52">
        <v>524</v>
      </c>
      <c r="C52" t="s">
        <v>652</v>
      </c>
      <c r="D52" t="s">
        <v>652</v>
      </c>
      <c r="E52" t="s">
        <v>653</v>
      </c>
    </row>
    <row r="53" spans="1:5">
      <c r="A53">
        <v>201</v>
      </c>
      <c r="B53">
        <v>5</v>
      </c>
      <c r="C53" t="s">
        <v>521</v>
      </c>
      <c r="D53" t="s">
        <v>521</v>
      </c>
      <c r="E53" t="s">
        <v>654</v>
      </c>
    </row>
    <row r="54" spans="1:5">
      <c r="A54">
        <v>3221</v>
      </c>
      <c r="B54">
        <v>6</v>
      </c>
      <c r="C54" t="s">
        <v>655</v>
      </c>
      <c r="D54" t="s">
        <v>655</v>
      </c>
      <c r="E54" t="s">
        <v>656</v>
      </c>
    </row>
    <row r="55" spans="1:5">
      <c r="A55">
        <v>167</v>
      </c>
      <c r="B55">
        <v>6</v>
      </c>
      <c r="C55" t="s">
        <v>657</v>
      </c>
      <c r="D55" t="s">
        <v>657</v>
      </c>
      <c r="E55" t="s">
        <v>658</v>
      </c>
    </row>
    <row r="56" spans="1:5">
      <c r="A56">
        <v>1414</v>
      </c>
      <c r="B56">
        <v>6</v>
      </c>
      <c r="C56" t="s">
        <v>659</v>
      </c>
      <c r="D56" t="s">
        <v>659</v>
      </c>
      <c r="E56" t="s">
        <v>659</v>
      </c>
    </row>
    <row r="57" spans="1:5">
      <c r="A57">
        <v>253</v>
      </c>
      <c r="B57">
        <v>6</v>
      </c>
      <c r="C57" t="s">
        <v>522</v>
      </c>
      <c r="D57" t="s">
        <v>522</v>
      </c>
      <c r="E57" t="s">
        <v>660</v>
      </c>
    </row>
    <row r="58" spans="1:5">
      <c r="A58">
        <v>198</v>
      </c>
      <c r="B58">
        <v>6</v>
      </c>
      <c r="C58" t="s">
        <v>523</v>
      </c>
      <c r="D58" t="s">
        <v>523</v>
      </c>
      <c r="E58" t="s">
        <v>661</v>
      </c>
    </row>
    <row r="59" spans="1:5">
      <c r="A59">
        <v>125</v>
      </c>
      <c r="B59">
        <v>6</v>
      </c>
      <c r="C59" t="s">
        <v>662</v>
      </c>
      <c r="D59" t="s">
        <v>662</v>
      </c>
      <c r="E59" t="s">
        <v>663</v>
      </c>
    </row>
    <row r="60" spans="1:5">
      <c r="A60">
        <v>4169</v>
      </c>
      <c r="B60">
        <v>6</v>
      </c>
      <c r="C60" t="s">
        <v>664</v>
      </c>
      <c r="D60" t="s">
        <v>664</v>
      </c>
      <c r="E60" t="s">
        <v>665</v>
      </c>
    </row>
    <row r="61" spans="1:5">
      <c r="A61">
        <v>3107</v>
      </c>
      <c r="B61">
        <v>6</v>
      </c>
      <c r="C61" t="s">
        <v>666</v>
      </c>
      <c r="D61" t="s">
        <v>666</v>
      </c>
      <c r="E61" t="s">
        <v>666</v>
      </c>
    </row>
    <row r="62" spans="1:5">
      <c r="A62">
        <v>54</v>
      </c>
      <c r="B62">
        <v>2</v>
      </c>
      <c r="C62" t="s">
        <v>524</v>
      </c>
      <c r="D62" t="s">
        <v>524</v>
      </c>
      <c r="E62" t="s">
        <v>524</v>
      </c>
    </row>
    <row r="63" spans="1:5">
      <c r="A63">
        <v>100</v>
      </c>
      <c r="B63">
        <v>2</v>
      </c>
      <c r="C63" t="s">
        <v>525</v>
      </c>
      <c r="D63" t="s">
        <v>525</v>
      </c>
      <c r="E63" t="s">
        <v>525</v>
      </c>
    </row>
    <row r="64" spans="1:5">
      <c r="A64">
        <v>269</v>
      </c>
      <c r="B64">
        <v>524</v>
      </c>
      <c r="C64" t="s">
        <v>1027</v>
      </c>
      <c r="D64" t="s">
        <v>1027</v>
      </c>
      <c r="E64" t="s">
        <v>1028</v>
      </c>
    </row>
    <row r="65" spans="1:5">
      <c r="A65">
        <v>3012</v>
      </c>
      <c r="B65">
        <v>6</v>
      </c>
      <c r="C65" t="s">
        <v>526</v>
      </c>
      <c r="D65" t="s">
        <v>526</v>
      </c>
      <c r="E65" t="s">
        <v>667</v>
      </c>
    </row>
    <row r="66" spans="1:5">
      <c r="A66">
        <v>89</v>
      </c>
      <c r="B66">
        <v>2</v>
      </c>
      <c r="C66" t="s">
        <v>668</v>
      </c>
      <c r="D66" t="s">
        <v>668</v>
      </c>
      <c r="E66" t="s">
        <v>669</v>
      </c>
    </row>
    <row r="67" spans="1:5">
      <c r="A67">
        <v>38</v>
      </c>
      <c r="B67">
        <v>8</v>
      </c>
      <c r="C67" t="s">
        <v>670</v>
      </c>
      <c r="D67" t="s">
        <v>670</v>
      </c>
      <c r="E67" t="s">
        <v>832</v>
      </c>
    </row>
    <row r="68" spans="1:5">
      <c r="A68">
        <v>88</v>
      </c>
      <c r="B68">
        <v>2</v>
      </c>
      <c r="C68" t="s">
        <v>527</v>
      </c>
      <c r="D68" t="s">
        <v>528</v>
      </c>
      <c r="E68" t="s">
        <v>529</v>
      </c>
    </row>
    <row r="69" spans="1:5">
      <c r="A69">
        <v>127</v>
      </c>
      <c r="B69">
        <v>6</v>
      </c>
      <c r="C69" t="s">
        <v>530</v>
      </c>
      <c r="D69" t="s">
        <v>530</v>
      </c>
      <c r="E69" t="s">
        <v>671</v>
      </c>
    </row>
    <row r="70" spans="1:5">
      <c r="A70">
        <v>40</v>
      </c>
      <c r="B70">
        <v>2</v>
      </c>
      <c r="C70" t="s">
        <v>1029</v>
      </c>
      <c r="D70" t="s">
        <v>1029</v>
      </c>
      <c r="E70" t="s">
        <v>1030</v>
      </c>
    </row>
    <row r="71" spans="1:5">
      <c r="A71">
        <v>128</v>
      </c>
      <c r="B71">
        <v>5</v>
      </c>
      <c r="C71" t="s">
        <v>672</v>
      </c>
      <c r="D71" t="s">
        <v>672</v>
      </c>
      <c r="E71" t="s">
        <v>673</v>
      </c>
    </row>
    <row r="72" spans="1:5">
      <c r="A72">
        <v>678</v>
      </c>
      <c r="B72">
        <v>6</v>
      </c>
      <c r="C72" t="s">
        <v>674</v>
      </c>
      <c r="D72" t="s">
        <v>674</v>
      </c>
      <c r="E72" t="s">
        <v>675</v>
      </c>
    </row>
    <row r="73" spans="1:5">
      <c r="A73">
        <v>414</v>
      </c>
      <c r="B73">
        <v>6</v>
      </c>
      <c r="C73" t="s">
        <v>676</v>
      </c>
      <c r="D73" t="s">
        <v>676</v>
      </c>
      <c r="E73" t="s">
        <v>677</v>
      </c>
    </row>
    <row r="74" spans="1:5">
      <c r="A74">
        <v>2</v>
      </c>
      <c r="B74">
        <v>2</v>
      </c>
      <c r="C74" t="s">
        <v>678</v>
      </c>
      <c r="D74" t="s">
        <v>678</v>
      </c>
      <c r="E74" t="s">
        <v>679</v>
      </c>
    </row>
    <row r="75" spans="1:5">
      <c r="A75">
        <v>263</v>
      </c>
      <c r="B75">
        <v>6</v>
      </c>
      <c r="C75" t="s">
        <v>680</v>
      </c>
      <c r="D75" t="s">
        <v>680</v>
      </c>
      <c r="E75" t="s">
        <v>681</v>
      </c>
    </row>
    <row r="76" spans="1:5">
      <c r="A76">
        <v>13</v>
      </c>
      <c r="B76">
        <v>8</v>
      </c>
      <c r="C76" t="s">
        <v>531</v>
      </c>
      <c r="D76" t="s">
        <v>532</v>
      </c>
      <c r="E76" t="s">
        <v>533</v>
      </c>
    </row>
    <row r="77" spans="1:5">
      <c r="A77">
        <v>83</v>
      </c>
      <c r="B77">
        <v>1</v>
      </c>
      <c r="C77" t="s">
        <v>682</v>
      </c>
      <c r="D77" t="s">
        <v>682</v>
      </c>
      <c r="E77" t="s">
        <v>683</v>
      </c>
    </row>
    <row r="78" spans="1:5">
      <c r="A78">
        <v>14</v>
      </c>
      <c r="B78">
        <v>8</v>
      </c>
      <c r="C78" t="s">
        <v>534</v>
      </c>
      <c r="D78" t="s">
        <v>534</v>
      </c>
      <c r="E78" t="s">
        <v>535</v>
      </c>
    </row>
    <row r="79" spans="1:5">
      <c r="A79">
        <v>6128</v>
      </c>
      <c r="B79">
        <v>5</v>
      </c>
      <c r="C79" t="s">
        <v>536</v>
      </c>
      <c r="D79" t="s">
        <v>536</v>
      </c>
      <c r="E79" t="s">
        <v>684</v>
      </c>
    </row>
    <row r="80" spans="1:5">
      <c r="A80">
        <v>102</v>
      </c>
      <c r="B80">
        <v>2</v>
      </c>
      <c r="C80" t="s">
        <v>685</v>
      </c>
      <c r="D80" t="s">
        <v>685</v>
      </c>
      <c r="E80" t="s">
        <v>685</v>
      </c>
    </row>
    <row r="81" spans="1:5">
      <c r="A81">
        <v>143</v>
      </c>
      <c r="B81">
        <v>6</v>
      </c>
      <c r="C81" t="s">
        <v>686</v>
      </c>
      <c r="D81" t="s">
        <v>686</v>
      </c>
      <c r="E81" t="s">
        <v>687</v>
      </c>
    </row>
    <row r="82" spans="1:5">
      <c r="A82">
        <v>1007</v>
      </c>
      <c r="B82">
        <v>5</v>
      </c>
      <c r="C82" t="s">
        <v>688</v>
      </c>
      <c r="D82" t="s">
        <v>688</v>
      </c>
      <c r="E82" t="s">
        <v>689</v>
      </c>
    </row>
    <row r="83" spans="1:5">
      <c r="A83">
        <v>43</v>
      </c>
      <c r="B83">
        <v>8</v>
      </c>
      <c r="C83" t="s">
        <v>537</v>
      </c>
      <c r="D83" t="s">
        <v>538</v>
      </c>
      <c r="E83" t="s">
        <v>539</v>
      </c>
    </row>
    <row r="84" spans="1:5">
      <c r="A84">
        <v>1</v>
      </c>
      <c r="B84">
        <v>8</v>
      </c>
      <c r="C84" t="s">
        <v>540</v>
      </c>
      <c r="D84" t="s">
        <v>541</v>
      </c>
      <c r="E84" t="s">
        <v>542</v>
      </c>
    </row>
    <row r="85" spans="1:5">
      <c r="A85">
        <v>3033</v>
      </c>
      <c r="B85">
        <v>5</v>
      </c>
      <c r="C85" t="s">
        <v>1314</v>
      </c>
      <c r="D85" t="s">
        <v>1314</v>
      </c>
      <c r="E85" t="s">
        <v>1314</v>
      </c>
    </row>
    <row r="86" spans="1:5">
      <c r="A86">
        <v>25</v>
      </c>
      <c r="B86">
        <v>2</v>
      </c>
      <c r="C86" t="s">
        <v>543</v>
      </c>
      <c r="D86" t="s">
        <v>543</v>
      </c>
      <c r="E86" t="s">
        <v>544</v>
      </c>
    </row>
    <row r="87" spans="1:5">
      <c r="A87">
        <v>103</v>
      </c>
      <c r="B87">
        <v>1</v>
      </c>
      <c r="C87" t="s">
        <v>690</v>
      </c>
      <c r="D87" t="s">
        <v>690</v>
      </c>
      <c r="E87" t="s">
        <v>690</v>
      </c>
    </row>
    <row r="88" spans="1:5">
      <c r="A88">
        <v>22</v>
      </c>
      <c r="B88">
        <v>2</v>
      </c>
      <c r="C88" t="s">
        <v>1031</v>
      </c>
      <c r="D88" t="s">
        <v>1031</v>
      </c>
      <c r="E88" t="s">
        <v>1031</v>
      </c>
    </row>
    <row r="89" spans="1:5">
      <c r="A89">
        <v>146</v>
      </c>
      <c r="B89">
        <v>5</v>
      </c>
      <c r="C89" t="s">
        <v>545</v>
      </c>
      <c r="D89" t="s">
        <v>545</v>
      </c>
      <c r="E89" t="s">
        <v>691</v>
      </c>
    </row>
    <row r="90" spans="1:5">
      <c r="A90">
        <v>286</v>
      </c>
      <c r="B90">
        <v>2</v>
      </c>
      <c r="C90" t="s">
        <v>546</v>
      </c>
      <c r="D90" t="s">
        <v>546</v>
      </c>
      <c r="E90" t="s">
        <v>546</v>
      </c>
    </row>
    <row r="91" spans="1:5">
      <c r="A91">
        <v>459</v>
      </c>
      <c r="B91">
        <v>5</v>
      </c>
      <c r="C91" t="s">
        <v>692</v>
      </c>
      <c r="D91" t="s">
        <v>692</v>
      </c>
      <c r="E91" t="s">
        <v>693</v>
      </c>
    </row>
    <row r="92" spans="1:5">
      <c r="A92">
        <v>4</v>
      </c>
      <c r="B92">
        <v>8</v>
      </c>
      <c r="C92" t="s">
        <v>694</v>
      </c>
      <c r="D92" t="s">
        <v>694</v>
      </c>
      <c r="E92" t="s">
        <v>833</v>
      </c>
    </row>
    <row r="93" spans="1:5">
      <c r="A93">
        <v>75</v>
      </c>
      <c r="B93">
        <v>2</v>
      </c>
      <c r="C93" t="s">
        <v>547</v>
      </c>
      <c r="D93" t="s">
        <v>547</v>
      </c>
      <c r="E93" t="s">
        <v>548</v>
      </c>
    </row>
    <row r="94" spans="1:5">
      <c r="A94">
        <v>45</v>
      </c>
      <c r="B94">
        <v>2</v>
      </c>
      <c r="C94" t="s">
        <v>549</v>
      </c>
      <c r="D94" t="s">
        <v>549</v>
      </c>
      <c r="E94" t="s">
        <v>550</v>
      </c>
    </row>
    <row r="95" spans="1:5">
      <c r="A95">
        <v>17</v>
      </c>
      <c r="B95">
        <v>2</v>
      </c>
      <c r="C95" t="s">
        <v>551</v>
      </c>
      <c r="D95" t="s">
        <v>551</v>
      </c>
      <c r="E95" t="s">
        <v>552</v>
      </c>
    </row>
    <row r="96" spans="1:5">
      <c r="A96">
        <v>202</v>
      </c>
      <c r="B96">
        <v>5</v>
      </c>
      <c r="C96" t="s">
        <v>695</v>
      </c>
      <c r="D96" t="s">
        <v>695</v>
      </c>
      <c r="E96" t="s">
        <v>696</v>
      </c>
    </row>
    <row r="97" spans="1:5">
      <c r="A97">
        <v>10248</v>
      </c>
      <c r="B97">
        <v>6</v>
      </c>
      <c r="C97" t="s">
        <v>697</v>
      </c>
      <c r="D97" t="s">
        <v>697</v>
      </c>
      <c r="E97" t="s">
        <v>698</v>
      </c>
    </row>
    <row r="98" spans="1:5">
      <c r="A98">
        <v>106</v>
      </c>
      <c r="B98">
        <v>1</v>
      </c>
      <c r="C98" t="s">
        <v>699</v>
      </c>
      <c r="D98" t="s">
        <v>699</v>
      </c>
      <c r="E98" t="s">
        <v>700</v>
      </c>
    </row>
    <row r="99" spans="1:5">
      <c r="A99">
        <v>237</v>
      </c>
      <c r="B99">
        <v>6</v>
      </c>
      <c r="C99" t="s">
        <v>701</v>
      </c>
      <c r="D99" t="s">
        <v>701</v>
      </c>
      <c r="E99" t="s">
        <v>702</v>
      </c>
    </row>
    <row r="100" spans="1:5">
      <c r="A100">
        <v>149</v>
      </c>
      <c r="B100">
        <v>5</v>
      </c>
      <c r="C100" t="s">
        <v>553</v>
      </c>
      <c r="D100" t="s">
        <v>553</v>
      </c>
      <c r="E100" t="s">
        <v>703</v>
      </c>
    </row>
    <row r="101" spans="1:5">
      <c r="A101">
        <v>73</v>
      </c>
      <c r="B101">
        <v>2</v>
      </c>
      <c r="C101" t="s">
        <v>554</v>
      </c>
      <c r="D101" t="s">
        <v>554</v>
      </c>
      <c r="E101" t="s">
        <v>555</v>
      </c>
    </row>
    <row r="102" spans="1:5">
      <c r="A102">
        <v>76</v>
      </c>
      <c r="B102">
        <v>1</v>
      </c>
      <c r="C102" t="s">
        <v>704</v>
      </c>
      <c r="D102" t="s">
        <v>704</v>
      </c>
      <c r="E102" t="s">
        <v>705</v>
      </c>
    </row>
    <row r="103" spans="1:5">
      <c r="A103">
        <v>50</v>
      </c>
      <c r="B103">
        <v>2</v>
      </c>
      <c r="C103" t="s">
        <v>706</v>
      </c>
      <c r="D103" t="s">
        <v>706</v>
      </c>
      <c r="E103" t="s">
        <v>706</v>
      </c>
    </row>
    <row r="104" spans="1:5">
      <c r="A104">
        <v>107</v>
      </c>
      <c r="B104">
        <v>2</v>
      </c>
      <c r="C104" t="s">
        <v>556</v>
      </c>
      <c r="D104" t="s">
        <v>556</v>
      </c>
      <c r="E104" t="s">
        <v>557</v>
      </c>
    </row>
    <row r="105" spans="1:5">
      <c r="A105">
        <v>204</v>
      </c>
      <c r="B105">
        <v>5</v>
      </c>
      <c r="C105" t="s">
        <v>707</v>
      </c>
      <c r="D105" t="s">
        <v>707</v>
      </c>
      <c r="E105" t="s">
        <v>707</v>
      </c>
    </row>
    <row r="106" spans="1:5">
      <c r="A106">
        <v>52</v>
      </c>
      <c r="B106">
        <v>2</v>
      </c>
      <c r="C106" t="s">
        <v>558</v>
      </c>
      <c r="D106" t="s">
        <v>558</v>
      </c>
      <c r="E106" t="s">
        <v>559</v>
      </c>
    </row>
    <row r="107" spans="1:5">
      <c r="A107">
        <v>108</v>
      </c>
      <c r="B107">
        <v>2</v>
      </c>
      <c r="C107" t="s">
        <v>600</v>
      </c>
      <c r="D107" t="s">
        <v>600</v>
      </c>
      <c r="E107" t="s">
        <v>600</v>
      </c>
    </row>
    <row r="108" spans="1:5">
      <c r="A108">
        <v>186</v>
      </c>
      <c r="B108">
        <v>5</v>
      </c>
      <c r="C108" t="s">
        <v>708</v>
      </c>
      <c r="D108" t="s">
        <v>708</v>
      </c>
      <c r="E108" t="s">
        <v>709</v>
      </c>
    </row>
    <row r="109" spans="1:5">
      <c r="A109">
        <v>82</v>
      </c>
      <c r="B109">
        <v>2</v>
      </c>
      <c r="C109" t="s">
        <v>710</v>
      </c>
      <c r="D109" t="s">
        <v>710</v>
      </c>
      <c r="E109" t="s">
        <v>710</v>
      </c>
    </row>
    <row r="110" spans="1:5">
      <c r="A110">
        <v>121</v>
      </c>
      <c r="B110">
        <v>6</v>
      </c>
      <c r="C110" t="s">
        <v>711</v>
      </c>
      <c r="D110" t="s">
        <v>711</v>
      </c>
      <c r="E110" t="s">
        <v>712</v>
      </c>
    </row>
    <row r="111" spans="1:5">
      <c r="A111">
        <v>72</v>
      </c>
      <c r="B111">
        <v>2</v>
      </c>
      <c r="C111" t="s">
        <v>1032</v>
      </c>
      <c r="D111" t="s">
        <v>1032</v>
      </c>
      <c r="E111" t="s">
        <v>1033</v>
      </c>
    </row>
    <row r="112" spans="1:5">
      <c r="A112">
        <v>241</v>
      </c>
      <c r="B112">
        <v>6</v>
      </c>
      <c r="C112" t="s">
        <v>713</v>
      </c>
      <c r="D112" t="s">
        <v>713</v>
      </c>
      <c r="E112" t="s">
        <v>714</v>
      </c>
    </row>
    <row r="113" spans="1:5">
      <c r="A113">
        <v>1936</v>
      </c>
      <c r="B113">
        <v>6</v>
      </c>
      <c r="C113" t="s">
        <v>715</v>
      </c>
      <c r="D113" t="s">
        <v>715</v>
      </c>
      <c r="E113" t="s">
        <v>716</v>
      </c>
    </row>
    <row r="114" spans="1:5">
      <c r="A114">
        <v>1937</v>
      </c>
      <c r="B114">
        <v>6</v>
      </c>
      <c r="C114" t="s">
        <v>717</v>
      </c>
      <c r="D114" t="s">
        <v>717</v>
      </c>
      <c r="E114" t="s">
        <v>716</v>
      </c>
    </row>
    <row r="115" spans="1:5">
      <c r="A115">
        <v>179</v>
      </c>
      <c r="B115">
        <v>5</v>
      </c>
      <c r="C115" t="s">
        <v>718</v>
      </c>
      <c r="D115" t="s">
        <v>718</v>
      </c>
      <c r="E115" t="s">
        <v>719</v>
      </c>
    </row>
    <row r="116" spans="1:5">
      <c r="A116">
        <v>455</v>
      </c>
      <c r="B116">
        <v>6</v>
      </c>
      <c r="C116" t="s">
        <v>720</v>
      </c>
      <c r="D116" t="s">
        <v>720</v>
      </c>
      <c r="E116" t="s">
        <v>721</v>
      </c>
    </row>
    <row r="117" spans="1:5">
      <c r="A117">
        <v>49</v>
      </c>
      <c r="B117">
        <v>2</v>
      </c>
      <c r="C117" t="s">
        <v>1034</v>
      </c>
      <c r="D117" t="s">
        <v>1034</v>
      </c>
      <c r="E117" t="s">
        <v>723</v>
      </c>
    </row>
    <row r="118" spans="1:5">
      <c r="A118">
        <v>19</v>
      </c>
      <c r="B118">
        <v>1</v>
      </c>
      <c r="C118" t="s">
        <v>722</v>
      </c>
      <c r="D118" t="s">
        <v>722</v>
      </c>
      <c r="E118" t="s">
        <v>723</v>
      </c>
    </row>
    <row r="119" spans="1:5">
      <c r="A119">
        <v>74</v>
      </c>
      <c r="B119">
        <v>2</v>
      </c>
      <c r="C119" t="s">
        <v>560</v>
      </c>
      <c r="D119" t="s">
        <v>560</v>
      </c>
      <c r="E119" t="s">
        <v>561</v>
      </c>
    </row>
    <row r="120" spans="1:5">
      <c r="A120">
        <v>20</v>
      </c>
      <c r="B120">
        <v>8</v>
      </c>
      <c r="C120" t="s">
        <v>562</v>
      </c>
      <c r="D120" t="s">
        <v>562</v>
      </c>
      <c r="E120" t="s">
        <v>563</v>
      </c>
    </row>
    <row r="121" spans="1:5">
      <c r="A121">
        <v>206</v>
      </c>
      <c r="B121">
        <v>6</v>
      </c>
      <c r="C121" t="s">
        <v>564</v>
      </c>
      <c r="D121" t="s">
        <v>564</v>
      </c>
      <c r="E121" t="s">
        <v>724</v>
      </c>
    </row>
    <row r="122" spans="1:5">
      <c r="A122">
        <v>205</v>
      </c>
      <c r="B122">
        <v>5</v>
      </c>
      <c r="C122" t="s">
        <v>1315</v>
      </c>
      <c r="D122" t="s">
        <v>1315</v>
      </c>
      <c r="E122" t="s">
        <v>1316</v>
      </c>
    </row>
    <row r="123" spans="1:5">
      <c r="A123">
        <v>152</v>
      </c>
      <c r="B123">
        <v>6</v>
      </c>
      <c r="C123" t="s">
        <v>725</v>
      </c>
      <c r="D123" t="s">
        <v>725</v>
      </c>
      <c r="E123" t="s">
        <v>726</v>
      </c>
    </row>
    <row r="124" spans="1:5">
      <c r="A124">
        <v>265</v>
      </c>
      <c r="B124">
        <v>232</v>
      </c>
      <c r="C124" t="s">
        <v>565</v>
      </c>
      <c r="D124" t="s">
        <v>565</v>
      </c>
      <c r="E124" t="s">
        <v>566</v>
      </c>
    </row>
    <row r="125" spans="1:5">
      <c r="A125">
        <v>288</v>
      </c>
      <c r="B125">
        <v>2</v>
      </c>
      <c r="C125" t="s">
        <v>567</v>
      </c>
      <c r="D125" t="s">
        <v>567</v>
      </c>
      <c r="E125" t="s">
        <v>567</v>
      </c>
    </row>
    <row r="126" spans="1:5">
      <c r="A126">
        <v>110</v>
      </c>
      <c r="B126">
        <v>8</v>
      </c>
      <c r="C126" t="s">
        <v>568</v>
      </c>
      <c r="D126" t="s">
        <v>569</v>
      </c>
      <c r="E126" t="s">
        <v>570</v>
      </c>
    </row>
    <row r="127" spans="1:5">
      <c r="A127">
        <v>56</v>
      </c>
      <c r="B127">
        <v>2</v>
      </c>
      <c r="C127" t="s">
        <v>571</v>
      </c>
      <c r="D127" t="s">
        <v>571</v>
      </c>
      <c r="E127" t="s">
        <v>572</v>
      </c>
    </row>
    <row r="128" spans="1:5">
      <c r="A128">
        <v>296</v>
      </c>
      <c r="B128">
        <v>1</v>
      </c>
      <c r="C128" t="s">
        <v>727</v>
      </c>
      <c r="D128" t="s">
        <v>727</v>
      </c>
      <c r="E128" t="s">
        <v>728</v>
      </c>
    </row>
    <row r="129" spans="1:5">
      <c r="A129">
        <v>80</v>
      </c>
      <c r="B129">
        <v>8</v>
      </c>
      <c r="C129" t="s">
        <v>573</v>
      </c>
      <c r="D129" t="s">
        <v>574</v>
      </c>
      <c r="E129" t="s">
        <v>575</v>
      </c>
    </row>
    <row r="130" spans="1:5">
      <c r="A130">
        <v>9830</v>
      </c>
      <c r="B130">
        <v>2</v>
      </c>
      <c r="C130" t="s">
        <v>576</v>
      </c>
      <c r="D130" t="s">
        <v>576</v>
      </c>
      <c r="E130" t="s">
        <v>576</v>
      </c>
    </row>
    <row r="131" spans="1:5">
      <c r="A131">
        <v>6</v>
      </c>
      <c r="B131">
        <v>8</v>
      </c>
      <c r="C131" t="s">
        <v>577</v>
      </c>
      <c r="D131" t="s">
        <v>578</v>
      </c>
      <c r="E131" t="s">
        <v>579</v>
      </c>
    </row>
    <row r="132" spans="1:5">
      <c r="A132">
        <v>1902</v>
      </c>
      <c r="B132">
        <v>232</v>
      </c>
      <c r="C132" t="s">
        <v>1035</v>
      </c>
      <c r="D132" t="s">
        <v>1035</v>
      </c>
      <c r="E132" t="s">
        <v>1036</v>
      </c>
    </row>
    <row r="133" spans="1:5">
      <c r="A133">
        <v>172</v>
      </c>
      <c r="B133">
        <v>5</v>
      </c>
      <c r="C133" t="s">
        <v>729</v>
      </c>
      <c r="D133" t="s">
        <v>729</v>
      </c>
      <c r="E133" t="s">
        <v>730</v>
      </c>
    </row>
    <row r="134" spans="1:5">
      <c r="A134">
        <v>449</v>
      </c>
      <c r="B134">
        <v>6</v>
      </c>
      <c r="C134" t="s">
        <v>731</v>
      </c>
      <c r="D134" t="s">
        <v>731</v>
      </c>
      <c r="E134" t="s">
        <v>732</v>
      </c>
    </row>
    <row r="135" spans="1:5">
      <c r="A135">
        <v>57</v>
      </c>
      <c r="B135">
        <v>8</v>
      </c>
      <c r="C135" t="s">
        <v>580</v>
      </c>
      <c r="D135" t="s">
        <v>580</v>
      </c>
      <c r="E135" t="s">
        <v>581</v>
      </c>
    </row>
    <row r="136" spans="1:5">
      <c r="A136">
        <v>35</v>
      </c>
      <c r="B136">
        <v>8</v>
      </c>
      <c r="C136" t="s">
        <v>582</v>
      </c>
      <c r="D136" t="s">
        <v>583</v>
      </c>
      <c r="E136" t="s">
        <v>584</v>
      </c>
    </row>
    <row r="137" spans="1:5">
      <c r="A137">
        <v>21</v>
      </c>
      <c r="B137">
        <v>8</v>
      </c>
      <c r="C137" t="s">
        <v>585</v>
      </c>
      <c r="D137" t="s">
        <v>586</v>
      </c>
      <c r="E137" t="s">
        <v>587</v>
      </c>
    </row>
    <row r="138" spans="1:5">
      <c r="A138">
        <v>111</v>
      </c>
      <c r="B138">
        <v>1</v>
      </c>
      <c r="C138" t="s">
        <v>733</v>
      </c>
      <c r="D138" t="s">
        <v>733</v>
      </c>
      <c r="E138" t="s">
        <v>734</v>
      </c>
    </row>
    <row r="139" spans="1:5">
      <c r="A139">
        <v>39</v>
      </c>
      <c r="B139">
        <v>1</v>
      </c>
      <c r="C139" t="s">
        <v>735</v>
      </c>
      <c r="D139" t="s">
        <v>735</v>
      </c>
      <c r="E139" t="s">
        <v>736</v>
      </c>
    </row>
    <row r="140" spans="1:5">
      <c r="A140">
        <v>112</v>
      </c>
      <c r="B140">
        <v>1</v>
      </c>
      <c r="C140" t="s">
        <v>737</v>
      </c>
      <c r="D140" t="s">
        <v>737</v>
      </c>
      <c r="E140" t="s">
        <v>738</v>
      </c>
    </row>
    <row r="141" spans="1:5">
      <c r="A141">
        <v>283</v>
      </c>
      <c r="B141">
        <v>2</v>
      </c>
      <c r="C141" t="s">
        <v>588</v>
      </c>
      <c r="D141" t="s">
        <v>588</v>
      </c>
      <c r="E141" t="s">
        <v>589</v>
      </c>
    </row>
    <row r="142" spans="1:5">
      <c r="A142">
        <v>78</v>
      </c>
      <c r="B142">
        <v>2</v>
      </c>
      <c r="C142" t="s">
        <v>739</v>
      </c>
      <c r="D142" t="s">
        <v>739</v>
      </c>
      <c r="E142" t="s">
        <v>739</v>
      </c>
    </row>
    <row r="143" spans="1:5">
      <c r="A143">
        <v>1341</v>
      </c>
      <c r="B143">
        <v>6</v>
      </c>
      <c r="C143" t="s">
        <v>740</v>
      </c>
      <c r="D143" t="s">
        <v>740</v>
      </c>
      <c r="E143" t="s">
        <v>741</v>
      </c>
    </row>
    <row r="144" spans="1:5">
      <c r="A144">
        <v>2760</v>
      </c>
      <c r="B144">
        <v>6</v>
      </c>
      <c r="C144" t="s">
        <v>590</v>
      </c>
      <c r="D144" t="s">
        <v>590</v>
      </c>
      <c r="E144" t="s">
        <v>742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F358081"/>
  <sheetViews>
    <sheetView topLeftCell="A106" workbookViewId="0">
      <selection activeCell="B2" sqref="B2:E119"/>
    </sheetView>
  </sheetViews>
  <sheetFormatPr defaultRowHeight="15"/>
  <cols>
    <col min="4" max="4" width="22.42578125" customWidth="1"/>
    <col min="7" max="27" width="9.140625" hidden="1" customWidth="1"/>
    <col min="28" max="28" width="16.7109375" hidden="1" customWidth="1"/>
    <col min="29" max="29" width="11.7109375" customWidth="1"/>
  </cols>
  <sheetData>
    <row r="1" spans="1:32">
      <c r="A1" t="s">
        <v>20</v>
      </c>
      <c r="B1" t="s">
        <v>1008</v>
      </c>
      <c r="C1" t="s">
        <v>1009</v>
      </c>
      <c r="D1" t="s">
        <v>1002</v>
      </c>
      <c r="E1" t="s">
        <v>1037</v>
      </c>
      <c r="F1" t="s">
        <v>1010</v>
      </c>
      <c r="AC1" t="s">
        <v>949</v>
      </c>
      <c r="AD1" t="s">
        <v>1039</v>
      </c>
    </row>
    <row r="2" spans="1:32">
      <c r="A2">
        <v>1000357</v>
      </c>
      <c r="B2" t="s">
        <v>34</v>
      </c>
      <c r="C2" t="s">
        <v>1040</v>
      </c>
      <c r="D2" t="s">
        <v>1041</v>
      </c>
      <c r="E2">
        <v>253</v>
      </c>
      <c r="F2">
        <v>1009760</v>
      </c>
      <c r="R2" t="e">
        <f>VLOOKUP(G2,Players!$A:$C,3,0)</f>
        <v>#N/A</v>
      </c>
      <c r="S2" t="e">
        <f>VLOOKUP(H2,Players!$A:$C,3,0)</f>
        <v>#N/A</v>
      </c>
      <c r="T2" t="e">
        <f>VLOOKUP(I2,Players!$A:$C,3,0)</f>
        <v>#N/A</v>
      </c>
      <c r="U2" t="e">
        <f>VLOOKUP(J2,Players!$A:$C,3,0)</f>
        <v>#N/A</v>
      </c>
      <c r="V2" t="e">
        <f>VLOOKUP(K2,Players!$A:$C,3,0)</f>
        <v>#N/A</v>
      </c>
      <c r="W2" t="e">
        <f>VLOOKUP(L2,Players!$A:$C,3,0)</f>
        <v>#N/A</v>
      </c>
      <c r="X2" t="e">
        <f>VLOOKUP(M2,Players!$A:$C,3,0)</f>
        <v>#N/A</v>
      </c>
      <c r="Y2" t="e">
        <f>VLOOKUP(N2,Players!$A:$C,3,0)</f>
        <v>#N/A</v>
      </c>
      <c r="Z2" t="e">
        <f>VLOOKUP(O2,Players!$A:$C,3,0)</f>
        <v>#N/A</v>
      </c>
      <c r="AA2" t="e">
        <f>VLOOKUP(P2,Players!$A:$C,3,0)</f>
        <v>#N/A</v>
      </c>
      <c r="AB2" t="e">
        <f>VLOOKUP(Q2,Players!$A:$C,3,0)</f>
        <v>#N/A</v>
      </c>
      <c r="AC2" t="s">
        <v>950</v>
      </c>
      <c r="AD2">
        <v>120</v>
      </c>
    </row>
    <row r="3" spans="1:32">
      <c r="A3">
        <v>1000574</v>
      </c>
      <c r="B3" t="s">
        <v>359</v>
      </c>
      <c r="C3" t="s">
        <v>1042</v>
      </c>
      <c r="D3" t="s">
        <v>1043</v>
      </c>
      <c r="E3">
        <v>246</v>
      </c>
      <c r="F3">
        <v>1000610</v>
      </c>
      <c r="R3" t="e">
        <f>VLOOKUP(G3,Players!$A:$C,3,0)</f>
        <v>#N/A</v>
      </c>
      <c r="S3" t="e">
        <f>VLOOKUP(H3,Players!$A:$C,3,0)</f>
        <v>#N/A</v>
      </c>
      <c r="T3" t="e">
        <f>VLOOKUP(I3,Players!$A:$C,3,0)</f>
        <v>#N/A</v>
      </c>
      <c r="U3" t="e">
        <f>VLOOKUP(J3,Players!$A:$C,3,0)</f>
        <v>#N/A</v>
      </c>
      <c r="V3" t="e">
        <f>VLOOKUP(K3,Players!$A:$C,3,0)</f>
        <v>#N/A</v>
      </c>
      <c r="W3" t="e">
        <f>VLOOKUP(L3,Players!$A:$C,3,0)</f>
        <v>#N/A</v>
      </c>
      <c r="X3" t="e">
        <f>VLOOKUP(M3,Players!$A:$C,3,0)</f>
        <v>#N/A</v>
      </c>
      <c r="Y3" t="e">
        <f>VLOOKUP(N3,Players!$A:$C,3,0)</f>
        <v>#N/A</v>
      </c>
      <c r="Z3" t="e">
        <f>VLOOKUP(O3,Players!$A:$C,3,0)</f>
        <v>#N/A</v>
      </c>
      <c r="AA3" t="e">
        <f>VLOOKUP(P3,Players!$A:$C,3,0)</f>
        <v>#N/A</v>
      </c>
      <c r="AB3" t="e">
        <f>VLOOKUP(Q3,Players!$A:$C,3,0)</f>
        <v>#N/A</v>
      </c>
      <c r="AC3" t="s">
        <v>951</v>
      </c>
      <c r="AD3">
        <v>1000498</v>
      </c>
    </row>
    <row r="4" spans="1:32">
      <c r="A4">
        <v>1004721</v>
      </c>
      <c r="B4" t="s">
        <v>358</v>
      </c>
      <c r="C4" t="s">
        <v>1044</v>
      </c>
      <c r="D4" t="s">
        <v>1045</v>
      </c>
      <c r="E4">
        <v>236</v>
      </c>
      <c r="F4">
        <v>1000587</v>
      </c>
      <c r="R4" t="e">
        <f>VLOOKUP(G4,Players!$A:$C,3,0)</f>
        <v>#N/A</v>
      </c>
      <c r="S4" t="e">
        <f>VLOOKUP(H4,Players!$A:$C,3,0)</f>
        <v>#N/A</v>
      </c>
      <c r="T4" t="e">
        <f>VLOOKUP(I4,Players!$A:$C,3,0)</f>
        <v>#N/A</v>
      </c>
      <c r="U4" t="e">
        <f>VLOOKUP(J4,Players!$A:$C,3,0)</f>
        <v>#N/A</v>
      </c>
      <c r="V4" t="e">
        <f>VLOOKUP(K4,Players!$A:$C,3,0)</f>
        <v>#N/A</v>
      </c>
      <c r="W4" t="e">
        <f>VLOOKUP(L4,Players!$A:$C,3,0)</f>
        <v>#N/A</v>
      </c>
      <c r="X4" t="e">
        <f>VLOOKUP(M4,Players!$A:$C,3,0)</f>
        <v>#N/A</v>
      </c>
      <c r="Y4" t="e">
        <f>VLOOKUP(N4,Players!$A:$C,3,0)</f>
        <v>#N/A</v>
      </c>
      <c r="Z4" t="e">
        <f>VLOOKUP(O4,Players!$A:$C,3,0)</f>
        <v>#N/A</v>
      </c>
      <c r="AA4" t="e">
        <f>VLOOKUP(P4,Players!$A:$C,3,0)</f>
        <v>#N/A</v>
      </c>
      <c r="AB4" t="e">
        <f>VLOOKUP(Q4,Players!$A:$C,3,0)</f>
        <v>#N/A</v>
      </c>
      <c r="AC4" t="s">
        <v>952</v>
      </c>
      <c r="AD4" t="s">
        <v>953</v>
      </c>
    </row>
    <row r="5" spans="1:32">
      <c r="A5">
        <v>1002827</v>
      </c>
      <c r="B5" t="s">
        <v>117</v>
      </c>
      <c r="C5" t="s">
        <v>1046</v>
      </c>
      <c r="D5" t="s">
        <v>1047</v>
      </c>
      <c r="E5">
        <v>235</v>
      </c>
      <c r="F5">
        <v>1061082</v>
      </c>
      <c r="R5" t="e">
        <f>VLOOKUP(G5,Players!$A:$C,3,0)</f>
        <v>#N/A</v>
      </c>
      <c r="S5" t="e">
        <f>VLOOKUP(H5,Players!$A:$C,3,0)</f>
        <v>#N/A</v>
      </c>
      <c r="T5" t="e">
        <f>VLOOKUP(I5,Players!$A:$C,3,0)</f>
        <v>#N/A</v>
      </c>
      <c r="U5" t="e">
        <f>VLOOKUP(J5,Players!$A:$C,3,0)</f>
        <v>#N/A</v>
      </c>
      <c r="V5" t="e">
        <f>VLOOKUP(K5,Players!$A:$C,3,0)</f>
        <v>#N/A</v>
      </c>
      <c r="W5" t="e">
        <f>VLOOKUP(L5,Players!$A:$C,3,0)</f>
        <v>#N/A</v>
      </c>
      <c r="X5" t="e">
        <f>VLOOKUP(M5,Players!$A:$C,3,0)</f>
        <v>#N/A</v>
      </c>
      <c r="Y5" t="e">
        <f>VLOOKUP(N5,Players!$A:$C,3,0)</f>
        <v>#N/A</v>
      </c>
      <c r="Z5" t="e">
        <f>VLOOKUP(O5,Players!$A:$C,3,0)</f>
        <v>#N/A</v>
      </c>
      <c r="AA5" t="e">
        <f>VLOOKUP(P5,Players!$A:$C,3,0)</f>
        <v>#N/A</v>
      </c>
      <c r="AB5" t="e">
        <f>VLOOKUP(Q5,Players!$A:$C,3,0)</f>
        <v>#N/A</v>
      </c>
      <c r="AC5" t="s">
        <v>954</v>
      </c>
      <c r="AD5" t="s">
        <v>953</v>
      </c>
    </row>
    <row r="6" spans="1:32">
      <c r="A6">
        <v>1624965</v>
      </c>
      <c r="B6" t="s">
        <v>1048</v>
      </c>
      <c r="C6" t="s">
        <v>1049</v>
      </c>
      <c r="D6" t="s">
        <v>1050</v>
      </c>
      <c r="E6">
        <v>227</v>
      </c>
      <c r="F6">
        <v>1441094</v>
      </c>
      <c r="R6" t="e">
        <f>VLOOKUP(G6,Players!$A:$C,3,0)</f>
        <v>#N/A</v>
      </c>
      <c r="S6" t="e">
        <f>VLOOKUP(H6,Players!$A:$C,3,0)</f>
        <v>#N/A</v>
      </c>
      <c r="T6" t="e">
        <f>VLOOKUP(I6,Players!$A:$C,3,0)</f>
        <v>#N/A</v>
      </c>
      <c r="U6" t="e">
        <f>VLOOKUP(J6,Players!$A:$C,3,0)</f>
        <v>#N/A</v>
      </c>
      <c r="V6" t="e">
        <f>VLOOKUP(K6,Players!$A:$C,3,0)</f>
        <v>#N/A</v>
      </c>
      <c r="W6" t="e">
        <f>VLOOKUP(L6,Players!$A:$C,3,0)</f>
        <v>#N/A</v>
      </c>
      <c r="X6" t="e">
        <f>VLOOKUP(M6,Players!$A:$C,3,0)</f>
        <v>#N/A</v>
      </c>
      <c r="Y6" t="e">
        <f>VLOOKUP(N6,Players!$A:$C,3,0)</f>
        <v>#N/A</v>
      </c>
      <c r="Z6" t="e">
        <f>VLOOKUP(O6,Players!$A:$C,3,0)</f>
        <v>#N/A</v>
      </c>
      <c r="AA6" t="e">
        <f>VLOOKUP(P6,Players!$A:$C,3,0)</f>
        <v>#N/A</v>
      </c>
      <c r="AB6" t="e">
        <f>VLOOKUP(Q6,Players!$A:$C,3,0)</f>
        <v>#N/A</v>
      </c>
      <c r="AC6" t="s">
        <v>1021</v>
      </c>
      <c r="AD6" t="s">
        <v>953</v>
      </c>
    </row>
    <row r="7" spans="1:32">
      <c r="A7">
        <v>1001167</v>
      </c>
      <c r="B7" t="s">
        <v>48</v>
      </c>
      <c r="C7" t="s">
        <v>1051</v>
      </c>
      <c r="D7" t="s">
        <v>1052</v>
      </c>
      <c r="E7">
        <v>222</v>
      </c>
      <c r="F7">
        <v>1004309</v>
      </c>
      <c r="R7" t="e">
        <f>VLOOKUP(G7,Players!$A:$C,3,0)</f>
        <v>#N/A</v>
      </c>
      <c r="S7" t="e">
        <f>VLOOKUP(H7,Players!$A:$C,3,0)</f>
        <v>#N/A</v>
      </c>
      <c r="T7" t="e">
        <f>VLOOKUP(I7,Players!$A:$C,3,0)</f>
        <v>#N/A</v>
      </c>
      <c r="U7" t="e">
        <f>VLOOKUP(J7,Players!$A:$C,3,0)</f>
        <v>#N/A</v>
      </c>
      <c r="V7" t="e">
        <f>VLOOKUP(K7,Players!$A:$C,3,0)</f>
        <v>#N/A</v>
      </c>
      <c r="W7" t="e">
        <f>VLOOKUP(L7,Players!$A:$C,3,0)</f>
        <v>#N/A</v>
      </c>
      <c r="X7" t="e">
        <f>VLOOKUP(M7,Players!$A:$C,3,0)</f>
        <v>#N/A</v>
      </c>
      <c r="Y7" t="e">
        <f>VLOOKUP(N7,Players!$A:$C,3,0)</f>
        <v>#N/A</v>
      </c>
      <c r="Z7" t="e">
        <f>VLOOKUP(O7,Players!$A:$C,3,0)</f>
        <v>#N/A</v>
      </c>
      <c r="AA7" t="e">
        <f>VLOOKUP(P7,Players!$A:$C,3,0)</f>
        <v>#N/A</v>
      </c>
      <c r="AB7" t="e">
        <f>VLOOKUP(Q7,Players!$A:$C,3,0)</f>
        <v>#N/A</v>
      </c>
    </row>
    <row r="8" spans="1:32">
      <c r="A8">
        <v>1000312</v>
      </c>
      <c r="B8" t="s">
        <v>48</v>
      </c>
      <c r="C8" t="s">
        <v>109</v>
      </c>
      <c r="D8" t="s">
        <v>1053</v>
      </c>
      <c r="E8">
        <v>222</v>
      </c>
      <c r="F8">
        <v>1000630</v>
      </c>
      <c r="R8" t="e">
        <f>VLOOKUP(G8,Players!$A:$C,3,0)</f>
        <v>#N/A</v>
      </c>
      <c r="S8" t="e">
        <f>VLOOKUP(H8,Players!$A:$C,3,0)</f>
        <v>#N/A</v>
      </c>
      <c r="T8" t="e">
        <f>VLOOKUP(I8,Players!$A:$C,3,0)</f>
        <v>#N/A</v>
      </c>
      <c r="U8" t="e">
        <f>VLOOKUP(J8,Players!$A:$C,3,0)</f>
        <v>#N/A</v>
      </c>
      <c r="V8" t="e">
        <f>VLOOKUP(K8,Players!$A:$C,3,0)</f>
        <v>#N/A</v>
      </c>
      <c r="W8" t="e">
        <f>VLOOKUP(L8,Players!$A:$C,3,0)</f>
        <v>#N/A</v>
      </c>
      <c r="X8" t="e">
        <f>VLOOKUP(M8,Players!$A:$C,3,0)</f>
        <v>#N/A</v>
      </c>
      <c r="Y8" t="e">
        <f>VLOOKUP(N8,Players!$A:$C,3,0)</f>
        <v>#N/A</v>
      </c>
      <c r="Z8" t="e">
        <f>VLOOKUP(O8,Players!$A:$C,3,0)</f>
        <v>#N/A</v>
      </c>
      <c r="AA8" t="e">
        <f>VLOOKUP(P8,Players!$A:$C,3,0)</f>
        <v>#N/A</v>
      </c>
      <c r="AB8" t="e">
        <f>VLOOKUP(Q8,Players!$A:$C,3,0)</f>
        <v>#N/A</v>
      </c>
    </row>
    <row r="9" spans="1:32">
      <c r="A9">
        <v>1263650</v>
      </c>
      <c r="B9" t="s">
        <v>323</v>
      </c>
      <c r="C9" t="s">
        <v>1054</v>
      </c>
      <c r="D9" t="s">
        <v>1055</v>
      </c>
      <c r="E9">
        <v>222</v>
      </c>
      <c r="F9">
        <v>1086450</v>
      </c>
      <c r="R9" t="e">
        <f>VLOOKUP(G9,Players!$A:$C,3,0)</f>
        <v>#N/A</v>
      </c>
      <c r="S9" t="e">
        <f>VLOOKUP(H9,Players!$A:$C,3,0)</f>
        <v>#N/A</v>
      </c>
      <c r="T9" t="e">
        <f>VLOOKUP(I9,Players!$A:$C,3,0)</f>
        <v>#N/A</v>
      </c>
      <c r="U9" t="e">
        <f>VLOOKUP(J9,Players!$A:$C,3,0)</f>
        <v>#N/A</v>
      </c>
      <c r="V9" t="e">
        <f>VLOOKUP(K9,Players!$A:$C,3,0)</f>
        <v>#N/A</v>
      </c>
      <c r="W9" t="e">
        <f>VLOOKUP(L9,Players!$A:$C,3,0)</f>
        <v>#N/A</v>
      </c>
      <c r="X9" t="e">
        <f>VLOOKUP(M9,Players!$A:$C,3,0)</f>
        <v>#N/A</v>
      </c>
      <c r="Y9" t="e">
        <f>VLOOKUP(N9,Players!$A:$C,3,0)</f>
        <v>#N/A</v>
      </c>
      <c r="Z9" t="e">
        <f>VLOOKUP(O9,Players!$A:$C,3,0)</f>
        <v>#N/A</v>
      </c>
      <c r="AA9" t="e">
        <f>VLOOKUP(P9,Players!$A:$C,3,0)</f>
        <v>#N/A</v>
      </c>
      <c r="AB9" t="e">
        <f>VLOOKUP(Q9,Players!$A:$C,3,0)</f>
        <v>#N/A</v>
      </c>
    </row>
    <row r="10" spans="1:32">
      <c r="A10">
        <v>1000489</v>
      </c>
      <c r="B10" t="s">
        <v>1056</v>
      </c>
      <c r="C10" t="s">
        <v>1057</v>
      </c>
      <c r="D10" t="s">
        <v>1058</v>
      </c>
      <c r="E10">
        <v>221</v>
      </c>
      <c r="F10">
        <v>1363490</v>
      </c>
      <c r="R10" t="e">
        <f>VLOOKUP(G10,Players!$A:$C,3,0)</f>
        <v>#N/A</v>
      </c>
      <c r="S10" t="e">
        <f>VLOOKUP(H10,Players!$A:$C,3,0)</f>
        <v>#N/A</v>
      </c>
      <c r="T10" t="e">
        <f>VLOOKUP(I10,Players!$A:$C,3,0)</f>
        <v>#N/A</v>
      </c>
      <c r="U10" t="e">
        <f>VLOOKUP(J10,Players!$A:$C,3,0)</f>
        <v>#N/A</v>
      </c>
      <c r="V10" t="e">
        <f>VLOOKUP(K10,Players!$A:$C,3,0)</f>
        <v>#N/A</v>
      </c>
      <c r="W10" t="e">
        <f>VLOOKUP(L10,Players!$A:$C,3,0)</f>
        <v>#N/A</v>
      </c>
      <c r="X10" t="e">
        <f>VLOOKUP(M10,Players!$A:$C,3,0)</f>
        <v>#N/A</v>
      </c>
      <c r="Y10" t="e">
        <f>VLOOKUP(N10,Players!$A:$C,3,0)</f>
        <v>#N/A</v>
      </c>
      <c r="Z10" t="e">
        <f>VLOOKUP(O10,Players!$A:$C,3,0)</f>
        <v>#N/A</v>
      </c>
      <c r="AA10" t="e">
        <f>VLOOKUP(P10,Players!$A:$C,3,0)</f>
        <v>#N/A</v>
      </c>
      <c r="AB10" t="e">
        <f>VLOOKUP(Q10,Players!$A:$C,3,0)</f>
        <v>#N/A</v>
      </c>
      <c r="AF10" s="13" t="s">
        <v>1038</v>
      </c>
    </row>
    <row r="11" spans="1:32">
      <c r="A11">
        <v>1001267</v>
      </c>
      <c r="B11" t="s">
        <v>146</v>
      </c>
      <c r="C11" t="s">
        <v>1059</v>
      </c>
      <c r="D11" t="s">
        <v>1060</v>
      </c>
      <c r="E11">
        <v>219</v>
      </c>
      <c r="F11">
        <v>1012422</v>
      </c>
      <c r="R11" t="e">
        <f>VLOOKUP(G11,Players!$A:$C,3,0)</f>
        <v>#N/A</v>
      </c>
      <c r="S11" t="e">
        <f>VLOOKUP(H11,Players!$A:$C,3,0)</f>
        <v>#N/A</v>
      </c>
      <c r="T11" t="e">
        <f>VLOOKUP(I11,Players!$A:$C,3,0)</f>
        <v>#N/A</v>
      </c>
      <c r="U11" t="e">
        <f>VLOOKUP(J11,Players!$A:$C,3,0)</f>
        <v>#N/A</v>
      </c>
      <c r="V11" t="e">
        <f>VLOOKUP(K11,Players!$A:$C,3,0)</f>
        <v>#N/A</v>
      </c>
      <c r="W11" t="e">
        <f>VLOOKUP(L11,Players!$A:$C,3,0)</f>
        <v>#N/A</v>
      </c>
      <c r="X11" t="e">
        <f>VLOOKUP(M11,Players!$A:$C,3,0)</f>
        <v>#N/A</v>
      </c>
      <c r="Y11" t="e">
        <f>VLOOKUP(N11,Players!$A:$C,3,0)</f>
        <v>#N/A</v>
      </c>
      <c r="Z11" t="e">
        <f>VLOOKUP(O11,Players!$A:$C,3,0)</f>
        <v>#N/A</v>
      </c>
      <c r="AA11" t="e">
        <f>VLOOKUP(P11,Players!$A:$C,3,0)</f>
        <v>#N/A</v>
      </c>
      <c r="AB11" t="e">
        <f>VLOOKUP(Q11,Players!$A:$C,3,0)</f>
        <v>#N/A</v>
      </c>
    </row>
    <row r="12" spans="1:32">
      <c r="A12">
        <v>1425692</v>
      </c>
      <c r="B12" t="s">
        <v>3</v>
      </c>
      <c r="C12" t="s">
        <v>1061</v>
      </c>
      <c r="D12" t="s">
        <v>1062</v>
      </c>
      <c r="E12">
        <v>216</v>
      </c>
      <c r="F12">
        <v>1230841</v>
      </c>
    </row>
    <row r="13" spans="1:32">
      <c r="A13">
        <v>1391614</v>
      </c>
      <c r="B13" t="s">
        <v>1044</v>
      </c>
      <c r="C13" t="s">
        <v>1063</v>
      </c>
      <c r="D13" t="s">
        <v>1064</v>
      </c>
      <c r="E13">
        <v>214</v>
      </c>
      <c r="F13">
        <v>1004603</v>
      </c>
    </row>
    <row r="14" spans="1:32">
      <c r="A14">
        <v>1145007</v>
      </c>
      <c r="B14" t="s">
        <v>238</v>
      </c>
      <c r="C14" t="s">
        <v>1065</v>
      </c>
      <c r="D14" t="s">
        <v>1066</v>
      </c>
      <c r="E14">
        <v>212</v>
      </c>
      <c r="F14">
        <v>1000838</v>
      </c>
    </row>
    <row r="15" spans="1:32">
      <c r="A15">
        <v>1000274</v>
      </c>
      <c r="B15" t="s">
        <v>117</v>
      </c>
      <c r="C15" t="s">
        <v>1067</v>
      </c>
      <c r="D15" t="s">
        <v>1068</v>
      </c>
      <c r="E15">
        <v>211</v>
      </c>
      <c r="F15">
        <v>1007461</v>
      </c>
    </row>
    <row r="16" spans="1:32">
      <c r="A16">
        <v>1001842</v>
      </c>
      <c r="B16" t="s">
        <v>346</v>
      </c>
      <c r="C16" t="s">
        <v>1069</v>
      </c>
      <c r="D16" t="s">
        <v>1070</v>
      </c>
      <c r="E16">
        <v>211</v>
      </c>
      <c r="F16">
        <v>1002084</v>
      </c>
    </row>
    <row r="17" spans="1:6">
      <c r="A17">
        <v>1021975</v>
      </c>
      <c r="B17" t="s">
        <v>92</v>
      </c>
      <c r="C17" t="s">
        <v>1071</v>
      </c>
      <c r="D17" t="s">
        <v>1072</v>
      </c>
      <c r="E17">
        <v>210</v>
      </c>
      <c r="F17">
        <v>1042213</v>
      </c>
    </row>
    <row r="18" spans="1:6">
      <c r="A18">
        <v>1539945</v>
      </c>
      <c r="B18" t="s">
        <v>1073</v>
      </c>
      <c r="C18" t="s">
        <v>228</v>
      </c>
      <c r="D18" t="s">
        <v>1074</v>
      </c>
      <c r="E18">
        <v>209</v>
      </c>
      <c r="F18">
        <v>1007152</v>
      </c>
    </row>
    <row r="19" spans="1:6">
      <c r="A19">
        <v>1369961</v>
      </c>
      <c r="B19" t="s">
        <v>337</v>
      </c>
      <c r="C19" t="s">
        <v>1075</v>
      </c>
      <c r="D19" t="s">
        <v>1076</v>
      </c>
      <c r="E19">
        <v>209</v>
      </c>
      <c r="F19">
        <v>1003748</v>
      </c>
    </row>
    <row r="20" spans="1:6">
      <c r="A20">
        <v>1002749</v>
      </c>
      <c r="B20" t="s">
        <v>238</v>
      </c>
      <c r="C20" t="s">
        <v>1077</v>
      </c>
      <c r="D20" t="s">
        <v>1078</v>
      </c>
      <c r="E20">
        <v>207</v>
      </c>
      <c r="F20">
        <v>1002427</v>
      </c>
    </row>
    <row r="21" spans="1:6">
      <c r="A21">
        <v>1004313</v>
      </c>
      <c r="B21" t="s">
        <v>315</v>
      </c>
      <c r="C21" t="s">
        <v>1079</v>
      </c>
      <c r="D21" t="s">
        <v>1080</v>
      </c>
      <c r="E21">
        <v>207</v>
      </c>
      <c r="F21">
        <v>1071476</v>
      </c>
    </row>
    <row r="22" spans="1:6">
      <c r="A22">
        <v>1026479</v>
      </c>
      <c r="B22" t="s">
        <v>1081</v>
      </c>
      <c r="C22" t="s">
        <v>1082</v>
      </c>
      <c r="D22" t="s">
        <v>1083</v>
      </c>
      <c r="E22">
        <v>204</v>
      </c>
      <c r="F22">
        <v>1009178</v>
      </c>
    </row>
    <row r="23" spans="1:6">
      <c r="A23">
        <v>1384473</v>
      </c>
      <c r="B23" t="s">
        <v>34</v>
      </c>
      <c r="C23" t="s">
        <v>395</v>
      </c>
      <c r="D23" t="s">
        <v>1084</v>
      </c>
      <c r="E23">
        <v>204</v>
      </c>
      <c r="F23">
        <v>1426665</v>
      </c>
    </row>
    <row r="24" spans="1:6">
      <c r="A24">
        <v>1018048</v>
      </c>
      <c r="B24" t="s">
        <v>1085</v>
      </c>
      <c r="C24" t="s">
        <v>1086</v>
      </c>
      <c r="D24" t="s">
        <v>1087</v>
      </c>
      <c r="E24">
        <v>203</v>
      </c>
      <c r="F24">
        <v>1000589</v>
      </c>
    </row>
    <row r="25" spans="1:6">
      <c r="A25">
        <v>1854783</v>
      </c>
      <c r="B25" t="s">
        <v>1081</v>
      </c>
      <c r="C25" t="s">
        <v>1088</v>
      </c>
      <c r="D25" t="s">
        <v>1089</v>
      </c>
      <c r="E25">
        <v>202</v>
      </c>
      <c r="F25">
        <v>1000754</v>
      </c>
    </row>
    <row r="26" spans="1:6">
      <c r="A26">
        <v>1000463</v>
      </c>
      <c r="B26" t="s">
        <v>1090</v>
      </c>
      <c r="C26" t="s">
        <v>201</v>
      </c>
      <c r="D26" t="s">
        <v>1091</v>
      </c>
      <c r="E26">
        <v>201</v>
      </c>
      <c r="F26">
        <v>1000773</v>
      </c>
    </row>
    <row r="27" spans="1:6">
      <c r="A27">
        <v>1000322</v>
      </c>
      <c r="B27" t="s">
        <v>253</v>
      </c>
      <c r="C27" t="s">
        <v>1092</v>
      </c>
      <c r="D27" t="s">
        <v>1093</v>
      </c>
      <c r="E27">
        <v>201</v>
      </c>
      <c r="F27">
        <v>1003023</v>
      </c>
    </row>
    <row r="28" spans="1:6">
      <c r="A28">
        <v>1024831</v>
      </c>
      <c r="B28" t="s">
        <v>3</v>
      </c>
      <c r="C28" t="s">
        <v>1094</v>
      </c>
      <c r="D28" t="s">
        <v>1095</v>
      </c>
      <c r="E28">
        <v>200</v>
      </c>
      <c r="F28">
        <v>2044653</v>
      </c>
    </row>
    <row r="29" spans="1:6">
      <c r="A29">
        <v>1147415</v>
      </c>
      <c r="B29" t="s">
        <v>343</v>
      </c>
      <c r="C29" t="s">
        <v>1096</v>
      </c>
      <c r="D29" t="s">
        <v>1097</v>
      </c>
      <c r="E29">
        <v>199</v>
      </c>
      <c r="F29">
        <v>1407132</v>
      </c>
    </row>
    <row r="30" spans="1:6">
      <c r="A30">
        <v>1626353</v>
      </c>
      <c r="B30" t="s">
        <v>1098</v>
      </c>
      <c r="C30" t="s">
        <v>1099</v>
      </c>
      <c r="D30" t="s">
        <v>1100</v>
      </c>
      <c r="E30">
        <v>199</v>
      </c>
      <c r="F30">
        <v>1003208</v>
      </c>
    </row>
    <row r="31" spans="1:6">
      <c r="A31">
        <v>1022892</v>
      </c>
      <c r="B31" t="s">
        <v>117</v>
      </c>
      <c r="C31" t="s">
        <v>1101</v>
      </c>
      <c r="D31" t="s">
        <v>1102</v>
      </c>
      <c r="E31">
        <v>197</v>
      </c>
      <c r="F31">
        <v>1028532</v>
      </c>
    </row>
    <row r="32" spans="1:6">
      <c r="A32">
        <v>1002413</v>
      </c>
      <c r="B32" t="s">
        <v>1103</v>
      </c>
      <c r="C32" t="s">
        <v>1104</v>
      </c>
      <c r="D32" t="s">
        <v>1105</v>
      </c>
      <c r="E32">
        <v>190</v>
      </c>
      <c r="F32">
        <v>1000571</v>
      </c>
    </row>
    <row r="33" spans="1:6">
      <c r="A33">
        <v>1008884</v>
      </c>
      <c r="B33" t="s">
        <v>337</v>
      </c>
      <c r="C33" t="s">
        <v>1106</v>
      </c>
      <c r="D33" t="s">
        <v>1107</v>
      </c>
      <c r="E33">
        <v>190</v>
      </c>
      <c r="F33">
        <v>1000777</v>
      </c>
    </row>
    <row r="34" spans="1:6">
      <c r="A34">
        <v>1327002</v>
      </c>
      <c r="B34" t="s">
        <v>1108</v>
      </c>
      <c r="C34" t="s">
        <v>1109</v>
      </c>
      <c r="D34" t="s">
        <v>1110</v>
      </c>
      <c r="E34">
        <v>190</v>
      </c>
      <c r="F34">
        <v>2857156</v>
      </c>
    </row>
    <row r="35" spans="1:6">
      <c r="A35">
        <v>1000756</v>
      </c>
      <c r="B35" t="s">
        <v>1111</v>
      </c>
      <c r="C35" t="s">
        <v>1112</v>
      </c>
      <c r="D35" t="s">
        <v>1113</v>
      </c>
      <c r="E35">
        <v>189</v>
      </c>
      <c r="F35">
        <v>1006301</v>
      </c>
    </row>
    <row r="36" spans="1:6">
      <c r="A36">
        <v>1869485</v>
      </c>
      <c r="B36" t="s">
        <v>441</v>
      </c>
      <c r="C36" t="s">
        <v>1114</v>
      </c>
      <c r="D36" t="s">
        <v>1115</v>
      </c>
      <c r="E36">
        <v>186</v>
      </c>
      <c r="F36">
        <v>2078227</v>
      </c>
    </row>
    <row r="37" spans="1:6">
      <c r="A37">
        <v>1048684</v>
      </c>
      <c r="B37" t="s">
        <v>1116</v>
      </c>
      <c r="C37" t="s">
        <v>1117</v>
      </c>
      <c r="D37" t="s">
        <v>1118</v>
      </c>
      <c r="E37">
        <v>185</v>
      </c>
      <c r="F37">
        <v>1026694</v>
      </c>
    </row>
    <row r="38" spans="1:6">
      <c r="A38">
        <v>1031798</v>
      </c>
      <c r="B38" t="s">
        <v>1119</v>
      </c>
      <c r="C38" t="s">
        <v>1120</v>
      </c>
      <c r="D38" t="s">
        <v>1121</v>
      </c>
      <c r="E38">
        <v>184</v>
      </c>
      <c r="F38">
        <v>1119486</v>
      </c>
    </row>
    <row r="39" spans="1:6">
      <c r="A39">
        <v>1636733</v>
      </c>
      <c r="B39" t="s">
        <v>34</v>
      </c>
      <c r="C39" t="s">
        <v>1122</v>
      </c>
      <c r="D39" t="s">
        <v>1123</v>
      </c>
      <c r="E39">
        <v>184</v>
      </c>
      <c r="F39">
        <v>1402409</v>
      </c>
    </row>
    <row r="40" spans="1:6">
      <c r="A40">
        <v>1000478</v>
      </c>
      <c r="B40" t="s">
        <v>3</v>
      </c>
      <c r="C40" t="s">
        <v>1124</v>
      </c>
      <c r="D40" t="s">
        <v>1125</v>
      </c>
      <c r="E40">
        <v>183</v>
      </c>
      <c r="F40">
        <v>1000622</v>
      </c>
    </row>
    <row r="41" spans="1:6">
      <c r="A41">
        <v>1117189</v>
      </c>
      <c r="B41" t="s">
        <v>1126</v>
      </c>
      <c r="C41" t="s">
        <v>1127</v>
      </c>
      <c r="D41" t="s">
        <v>1128</v>
      </c>
      <c r="E41">
        <v>183</v>
      </c>
      <c r="F41">
        <v>1000651</v>
      </c>
    </row>
    <row r="42" spans="1:6">
      <c r="A42">
        <v>1001649</v>
      </c>
      <c r="B42" t="s">
        <v>30</v>
      </c>
      <c r="C42" t="s">
        <v>1129</v>
      </c>
      <c r="D42" t="s">
        <v>1130</v>
      </c>
      <c r="E42">
        <v>182</v>
      </c>
      <c r="F42">
        <v>1055254</v>
      </c>
    </row>
    <row r="43" spans="1:6">
      <c r="A43">
        <v>1133887</v>
      </c>
      <c r="B43" t="s">
        <v>359</v>
      </c>
      <c r="C43" t="s">
        <v>1131</v>
      </c>
      <c r="D43" t="s">
        <v>1132</v>
      </c>
      <c r="E43">
        <v>182</v>
      </c>
      <c r="F43">
        <v>1206090</v>
      </c>
    </row>
    <row r="44" spans="1:6">
      <c r="A44">
        <v>1041447</v>
      </c>
      <c r="B44" t="s">
        <v>1133</v>
      </c>
      <c r="C44" t="s">
        <v>1134</v>
      </c>
      <c r="D44" t="s">
        <v>1135</v>
      </c>
      <c r="E44">
        <v>182</v>
      </c>
      <c r="F44">
        <v>1000626</v>
      </c>
    </row>
    <row r="45" spans="1:6">
      <c r="A45">
        <v>1000263</v>
      </c>
      <c r="B45" t="s">
        <v>1136</v>
      </c>
      <c r="C45" t="s">
        <v>1137</v>
      </c>
      <c r="D45" t="s">
        <v>1138</v>
      </c>
      <c r="E45">
        <v>181</v>
      </c>
      <c r="F45">
        <v>1000568</v>
      </c>
    </row>
    <row r="46" spans="1:6">
      <c r="A46">
        <v>1150531</v>
      </c>
      <c r="B46" t="s">
        <v>427</v>
      </c>
      <c r="C46" t="s">
        <v>1139</v>
      </c>
      <c r="D46" t="s">
        <v>1140</v>
      </c>
      <c r="E46">
        <v>181</v>
      </c>
      <c r="F46">
        <v>1001230</v>
      </c>
    </row>
    <row r="47" spans="1:6">
      <c r="A47">
        <v>1051783</v>
      </c>
      <c r="B47" t="s">
        <v>238</v>
      </c>
      <c r="C47" t="s">
        <v>230</v>
      </c>
      <c r="D47" t="s">
        <v>1141</v>
      </c>
      <c r="E47">
        <v>180</v>
      </c>
      <c r="F47">
        <v>1261625</v>
      </c>
    </row>
    <row r="48" spans="1:6">
      <c r="A48">
        <v>1127880</v>
      </c>
      <c r="B48" t="s">
        <v>358</v>
      </c>
      <c r="C48" t="s">
        <v>327</v>
      </c>
      <c r="D48" t="s">
        <v>1142</v>
      </c>
      <c r="E48">
        <v>179</v>
      </c>
      <c r="F48">
        <v>1175795</v>
      </c>
    </row>
    <row r="49" spans="1:6">
      <c r="A49">
        <v>1001003</v>
      </c>
      <c r="B49" t="s">
        <v>44</v>
      </c>
      <c r="C49" t="s">
        <v>392</v>
      </c>
      <c r="D49" t="s">
        <v>1143</v>
      </c>
      <c r="E49">
        <v>178</v>
      </c>
      <c r="F49">
        <v>1004192</v>
      </c>
    </row>
    <row r="50" spans="1:6">
      <c r="A50">
        <v>1000615</v>
      </c>
      <c r="B50" t="s">
        <v>1144</v>
      </c>
      <c r="C50" t="s">
        <v>1145</v>
      </c>
      <c r="D50" t="s">
        <v>1146</v>
      </c>
      <c r="E50">
        <v>178</v>
      </c>
      <c r="F50">
        <v>1320825</v>
      </c>
    </row>
    <row r="51" spans="1:6">
      <c r="A51">
        <v>1076843</v>
      </c>
      <c r="B51" t="s">
        <v>1147</v>
      </c>
      <c r="C51" t="s">
        <v>1148</v>
      </c>
      <c r="D51" t="s">
        <v>1149</v>
      </c>
      <c r="E51">
        <v>178</v>
      </c>
      <c r="F51">
        <v>1046718</v>
      </c>
    </row>
    <row r="52" spans="1:6">
      <c r="A52">
        <v>1007955</v>
      </c>
      <c r="B52" t="s">
        <v>1150</v>
      </c>
      <c r="C52" t="s">
        <v>1151</v>
      </c>
      <c r="D52" t="s">
        <v>1152</v>
      </c>
      <c r="E52">
        <v>176</v>
      </c>
      <c r="F52">
        <v>1035388</v>
      </c>
    </row>
    <row r="53" spans="1:6">
      <c r="A53">
        <v>1003986</v>
      </c>
      <c r="B53" t="s">
        <v>1153</v>
      </c>
      <c r="C53" t="s">
        <v>1154</v>
      </c>
      <c r="D53" t="s">
        <v>1155</v>
      </c>
      <c r="E53">
        <v>175</v>
      </c>
      <c r="F53">
        <v>1019849</v>
      </c>
    </row>
    <row r="54" spans="1:6">
      <c r="A54">
        <v>1000698</v>
      </c>
      <c r="B54" t="s">
        <v>117</v>
      </c>
      <c r="C54" t="s">
        <v>1156</v>
      </c>
      <c r="D54" t="s">
        <v>1157</v>
      </c>
      <c r="E54">
        <v>175</v>
      </c>
      <c r="F54">
        <v>1000678</v>
      </c>
    </row>
    <row r="55" spans="1:6">
      <c r="A55">
        <v>1255686</v>
      </c>
      <c r="B55" t="s">
        <v>247</v>
      </c>
      <c r="C55" t="s">
        <v>1158</v>
      </c>
      <c r="D55" t="s">
        <v>1159</v>
      </c>
      <c r="E55">
        <v>175</v>
      </c>
      <c r="F55">
        <v>1162127</v>
      </c>
    </row>
    <row r="56" spans="1:6">
      <c r="A56">
        <v>1002673</v>
      </c>
      <c r="B56" t="s">
        <v>1160</v>
      </c>
      <c r="C56" t="s">
        <v>1161</v>
      </c>
      <c r="D56" t="s">
        <v>1162</v>
      </c>
      <c r="E56">
        <v>175</v>
      </c>
      <c r="F56">
        <v>1115504</v>
      </c>
    </row>
    <row r="57" spans="1:6">
      <c r="A57">
        <v>1001014</v>
      </c>
      <c r="B57" t="s">
        <v>479</v>
      </c>
      <c r="C57" t="s">
        <v>1163</v>
      </c>
      <c r="D57" t="s">
        <v>1164</v>
      </c>
      <c r="E57">
        <v>174</v>
      </c>
      <c r="F57">
        <v>1005275</v>
      </c>
    </row>
    <row r="58" spans="1:6">
      <c r="A58">
        <v>1002892</v>
      </c>
      <c r="B58" t="s">
        <v>1165</v>
      </c>
      <c r="C58" t="s">
        <v>1166</v>
      </c>
      <c r="D58" t="s">
        <v>1167</v>
      </c>
      <c r="E58">
        <v>174</v>
      </c>
      <c r="F58">
        <v>2764358</v>
      </c>
    </row>
    <row r="59" spans="1:6">
      <c r="A59">
        <v>1248164</v>
      </c>
      <c r="B59" t="s">
        <v>744</v>
      </c>
      <c r="C59" t="s">
        <v>1168</v>
      </c>
      <c r="D59" t="s">
        <v>1169</v>
      </c>
      <c r="E59">
        <v>174</v>
      </c>
      <c r="F59">
        <v>1006639</v>
      </c>
    </row>
    <row r="60" spans="1:6">
      <c r="A60">
        <v>1327409</v>
      </c>
      <c r="B60" t="s">
        <v>175</v>
      </c>
      <c r="C60" t="s">
        <v>1170</v>
      </c>
      <c r="D60" t="s">
        <v>1171</v>
      </c>
      <c r="E60">
        <v>174</v>
      </c>
      <c r="F60">
        <v>1000758</v>
      </c>
    </row>
    <row r="61" spans="1:6">
      <c r="A61">
        <v>1297377</v>
      </c>
      <c r="B61" t="s">
        <v>175</v>
      </c>
      <c r="C61" t="s">
        <v>1172</v>
      </c>
      <c r="D61" t="s">
        <v>1173</v>
      </c>
      <c r="E61">
        <v>173</v>
      </c>
      <c r="F61">
        <v>1091512</v>
      </c>
    </row>
    <row r="62" spans="1:6">
      <c r="A62">
        <v>1299048</v>
      </c>
      <c r="B62" t="s">
        <v>1174</v>
      </c>
      <c r="C62" t="s">
        <v>1175</v>
      </c>
      <c r="D62" t="s">
        <v>1176</v>
      </c>
      <c r="E62">
        <v>173</v>
      </c>
      <c r="F62">
        <v>1033147</v>
      </c>
    </row>
    <row r="63" spans="1:6">
      <c r="A63">
        <v>1115084</v>
      </c>
      <c r="B63" t="s">
        <v>321</v>
      </c>
      <c r="C63" t="s">
        <v>1177</v>
      </c>
      <c r="D63" t="s">
        <v>1178</v>
      </c>
      <c r="E63">
        <v>172</v>
      </c>
      <c r="F63">
        <v>1025135</v>
      </c>
    </row>
    <row r="64" spans="1:6">
      <c r="A64">
        <v>1051157</v>
      </c>
      <c r="B64" t="s">
        <v>34</v>
      </c>
      <c r="C64" t="s">
        <v>1179</v>
      </c>
      <c r="D64" t="s">
        <v>1180</v>
      </c>
      <c r="E64">
        <v>171</v>
      </c>
      <c r="F64">
        <v>1029126</v>
      </c>
    </row>
    <row r="65" spans="1:6">
      <c r="A65">
        <v>1003004</v>
      </c>
      <c r="B65" t="s">
        <v>1181</v>
      </c>
      <c r="C65" t="s">
        <v>1046</v>
      </c>
      <c r="D65" t="s">
        <v>1182</v>
      </c>
      <c r="E65">
        <v>171</v>
      </c>
      <c r="F65">
        <v>1011972</v>
      </c>
    </row>
    <row r="66" spans="1:6">
      <c r="A66">
        <v>1002595</v>
      </c>
      <c r="B66" t="s">
        <v>337</v>
      </c>
      <c r="C66" t="s">
        <v>1183</v>
      </c>
      <c r="D66" t="s">
        <v>1184</v>
      </c>
      <c r="E66">
        <v>170</v>
      </c>
      <c r="F66">
        <v>1005021</v>
      </c>
    </row>
    <row r="67" spans="1:6">
      <c r="A67">
        <v>1000842</v>
      </c>
      <c r="B67" t="s">
        <v>34</v>
      </c>
      <c r="C67" t="s">
        <v>1185</v>
      </c>
      <c r="D67" t="s">
        <v>1186</v>
      </c>
      <c r="E67">
        <v>170</v>
      </c>
      <c r="F67">
        <v>1000602</v>
      </c>
    </row>
    <row r="68" spans="1:6">
      <c r="A68">
        <v>1742534</v>
      </c>
      <c r="B68" t="s">
        <v>1187</v>
      </c>
      <c r="C68" t="s">
        <v>1188</v>
      </c>
      <c r="D68" t="s">
        <v>1189</v>
      </c>
      <c r="E68">
        <v>169</v>
      </c>
      <c r="F68">
        <v>1076442</v>
      </c>
    </row>
    <row r="69" spans="1:6">
      <c r="A69">
        <v>1000631</v>
      </c>
      <c r="B69" t="s">
        <v>1190</v>
      </c>
      <c r="C69" t="s">
        <v>1191</v>
      </c>
      <c r="D69" t="s">
        <v>1192</v>
      </c>
      <c r="E69">
        <v>169</v>
      </c>
      <c r="F69">
        <v>1046869</v>
      </c>
    </row>
    <row r="70" spans="1:6">
      <c r="A70">
        <v>1012562</v>
      </c>
      <c r="B70" t="s">
        <v>1193</v>
      </c>
      <c r="C70" t="s">
        <v>1194</v>
      </c>
      <c r="D70" t="s">
        <v>1195</v>
      </c>
      <c r="E70">
        <v>167</v>
      </c>
      <c r="F70">
        <v>1116550</v>
      </c>
    </row>
    <row r="71" spans="1:6">
      <c r="A71">
        <v>1014154</v>
      </c>
      <c r="B71" t="s">
        <v>1196</v>
      </c>
      <c r="C71" t="s">
        <v>1197</v>
      </c>
      <c r="D71" t="s">
        <v>1198</v>
      </c>
      <c r="E71">
        <v>167</v>
      </c>
      <c r="F71">
        <v>1011583</v>
      </c>
    </row>
    <row r="72" spans="1:6">
      <c r="A72">
        <v>1143087</v>
      </c>
      <c r="B72" t="s">
        <v>1199</v>
      </c>
      <c r="C72" t="s">
        <v>1200</v>
      </c>
      <c r="D72" t="s">
        <v>1201</v>
      </c>
      <c r="E72">
        <v>167</v>
      </c>
      <c r="F72">
        <v>1003237</v>
      </c>
    </row>
    <row r="73" spans="1:6">
      <c r="A73">
        <v>1031895</v>
      </c>
      <c r="B73" t="s">
        <v>390</v>
      </c>
      <c r="C73" t="s">
        <v>1202</v>
      </c>
      <c r="D73" t="s">
        <v>1203</v>
      </c>
      <c r="E73">
        <v>167</v>
      </c>
      <c r="F73">
        <v>1000808</v>
      </c>
    </row>
    <row r="74" spans="1:6">
      <c r="A74">
        <v>1356282</v>
      </c>
      <c r="B74" t="s">
        <v>1204</v>
      </c>
      <c r="C74" t="s">
        <v>1205</v>
      </c>
      <c r="D74" t="s">
        <v>1206</v>
      </c>
      <c r="E74">
        <v>166</v>
      </c>
      <c r="F74">
        <v>1796695</v>
      </c>
    </row>
    <row r="75" spans="1:6">
      <c r="A75">
        <v>1091866</v>
      </c>
      <c r="B75" t="s">
        <v>1207</v>
      </c>
      <c r="C75" t="s">
        <v>1208</v>
      </c>
      <c r="D75" t="s">
        <v>1209</v>
      </c>
      <c r="E75">
        <v>166</v>
      </c>
      <c r="F75">
        <v>1373451</v>
      </c>
    </row>
    <row r="76" spans="1:6">
      <c r="A76">
        <v>1073298</v>
      </c>
      <c r="B76" t="s">
        <v>1210</v>
      </c>
      <c r="C76" t="s">
        <v>1077</v>
      </c>
      <c r="D76" t="s">
        <v>1211</v>
      </c>
      <c r="E76">
        <v>165</v>
      </c>
      <c r="F76">
        <v>1492520</v>
      </c>
    </row>
    <row r="77" spans="1:6">
      <c r="A77">
        <v>1302234</v>
      </c>
      <c r="B77" t="s">
        <v>247</v>
      </c>
      <c r="C77" t="s">
        <v>1075</v>
      </c>
      <c r="D77" t="s">
        <v>1212</v>
      </c>
      <c r="E77">
        <v>163</v>
      </c>
      <c r="F77">
        <v>1289423</v>
      </c>
    </row>
    <row r="78" spans="1:6">
      <c r="A78">
        <v>1489574</v>
      </c>
      <c r="B78" t="s">
        <v>34</v>
      </c>
      <c r="C78" t="s">
        <v>1213</v>
      </c>
      <c r="D78" t="s">
        <v>1214</v>
      </c>
      <c r="E78">
        <v>163</v>
      </c>
      <c r="F78">
        <v>1436528</v>
      </c>
    </row>
    <row r="79" spans="1:6">
      <c r="A79">
        <v>1003151</v>
      </c>
      <c r="B79" t="s">
        <v>193</v>
      </c>
      <c r="C79" t="s">
        <v>1215</v>
      </c>
      <c r="D79" t="s">
        <v>1216</v>
      </c>
      <c r="E79">
        <v>162</v>
      </c>
      <c r="F79">
        <v>1000583</v>
      </c>
    </row>
    <row r="80" spans="1:6">
      <c r="A80">
        <v>1068064</v>
      </c>
      <c r="B80" t="s">
        <v>1217</v>
      </c>
      <c r="C80" t="s">
        <v>1218</v>
      </c>
      <c r="D80" t="s">
        <v>1219</v>
      </c>
      <c r="E80">
        <v>162</v>
      </c>
      <c r="F80">
        <v>1368130</v>
      </c>
    </row>
    <row r="81" spans="1:6">
      <c r="A81">
        <v>1909676</v>
      </c>
      <c r="B81" t="s">
        <v>1220</v>
      </c>
      <c r="C81" t="s">
        <v>1071</v>
      </c>
      <c r="D81" t="s">
        <v>1221</v>
      </c>
      <c r="E81">
        <v>162</v>
      </c>
      <c r="F81">
        <v>2016192</v>
      </c>
    </row>
    <row r="82" spans="1:6">
      <c r="A82">
        <v>1344586</v>
      </c>
      <c r="B82" t="s">
        <v>1222</v>
      </c>
      <c r="C82" t="s">
        <v>1223</v>
      </c>
      <c r="D82" t="s">
        <v>1224</v>
      </c>
      <c r="E82">
        <v>161</v>
      </c>
      <c r="F82">
        <v>1162702</v>
      </c>
    </row>
    <row r="83" spans="1:6">
      <c r="A83">
        <v>1008953</v>
      </c>
      <c r="B83" t="s">
        <v>1</v>
      </c>
      <c r="C83" t="s">
        <v>1225</v>
      </c>
      <c r="D83" t="s">
        <v>1226</v>
      </c>
      <c r="E83">
        <v>160</v>
      </c>
      <c r="F83">
        <v>1157863</v>
      </c>
    </row>
    <row r="84" spans="1:6">
      <c r="A84">
        <v>1000546</v>
      </c>
      <c r="B84" t="s">
        <v>1227</v>
      </c>
      <c r="C84" t="s">
        <v>1228</v>
      </c>
      <c r="D84" t="s">
        <v>1229</v>
      </c>
      <c r="E84">
        <v>158</v>
      </c>
      <c r="F84">
        <v>1003788</v>
      </c>
    </row>
    <row r="85" spans="1:6">
      <c r="A85">
        <v>1057934</v>
      </c>
      <c r="B85" t="s">
        <v>44</v>
      </c>
      <c r="C85" t="s">
        <v>229</v>
      </c>
      <c r="D85" t="s">
        <v>1230</v>
      </c>
      <c r="E85">
        <v>158</v>
      </c>
      <c r="F85">
        <v>1382368</v>
      </c>
    </row>
    <row r="86" spans="1:6">
      <c r="A86">
        <v>1205537</v>
      </c>
      <c r="B86" t="s">
        <v>3</v>
      </c>
      <c r="C86" t="s">
        <v>467</v>
      </c>
      <c r="D86" t="s">
        <v>1231</v>
      </c>
      <c r="E86">
        <v>157</v>
      </c>
      <c r="F86">
        <v>1475681</v>
      </c>
    </row>
    <row r="87" spans="1:6">
      <c r="A87">
        <v>1637629</v>
      </c>
      <c r="B87" t="s">
        <v>1232</v>
      </c>
      <c r="C87" t="s">
        <v>1071</v>
      </c>
      <c r="D87" t="s">
        <v>1233</v>
      </c>
      <c r="E87">
        <v>157</v>
      </c>
      <c r="F87">
        <v>1409151</v>
      </c>
    </row>
    <row r="88" spans="1:6">
      <c r="A88">
        <v>1178450</v>
      </c>
      <c r="B88" t="s">
        <v>117</v>
      </c>
      <c r="C88" t="s">
        <v>1044</v>
      </c>
      <c r="D88" t="s">
        <v>1234</v>
      </c>
      <c r="E88">
        <v>156</v>
      </c>
      <c r="F88">
        <v>1000691</v>
      </c>
    </row>
    <row r="89" spans="1:6">
      <c r="A89">
        <v>1016278</v>
      </c>
      <c r="B89" t="s">
        <v>358</v>
      </c>
      <c r="C89" t="s">
        <v>1235</v>
      </c>
      <c r="D89" t="s">
        <v>1236</v>
      </c>
      <c r="E89">
        <v>155</v>
      </c>
      <c r="F89">
        <v>1000888</v>
      </c>
    </row>
    <row r="90" spans="1:6">
      <c r="A90">
        <v>1022989</v>
      </c>
      <c r="B90" t="s">
        <v>1237</v>
      </c>
      <c r="C90" t="s">
        <v>1238</v>
      </c>
      <c r="D90" t="s">
        <v>1239</v>
      </c>
      <c r="E90">
        <v>154</v>
      </c>
      <c r="F90">
        <v>1032960</v>
      </c>
    </row>
    <row r="91" spans="1:6">
      <c r="A91">
        <v>1303633</v>
      </c>
      <c r="B91" t="s">
        <v>1240</v>
      </c>
      <c r="C91" t="s">
        <v>297</v>
      </c>
      <c r="D91" t="s">
        <v>1241</v>
      </c>
      <c r="E91">
        <v>154</v>
      </c>
      <c r="F91">
        <v>1147668</v>
      </c>
    </row>
    <row r="92" spans="1:6">
      <c r="A92">
        <v>1041624</v>
      </c>
      <c r="B92" t="s">
        <v>1242</v>
      </c>
      <c r="C92" t="s">
        <v>1243</v>
      </c>
      <c r="D92" t="s">
        <v>1244</v>
      </c>
      <c r="E92">
        <v>152</v>
      </c>
      <c r="F92">
        <v>1023339</v>
      </c>
    </row>
    <row r="93" spans="1:6">
      <c r="A93">
        <v>1004543</v>
      </c>
      <c r="B93" t="s">
        <v>358</v>
      </c>
      <c r="C93" t="s">
        <v>1245</v>
      </c>
      <c r="D93" t="s">
        <v>1246</v>
      </c>
      <c r="E93">
        <v>150</v>
      </c>
      <c r="F93">
        <v>1129926</v>
      </c>
    </row>
    <row r="94" spans="1:6">
      <c r="A94">
        <v>1070443</v>
      </c>
      <c r="B94" t="s">
        <v>337</v>
      </c>
      <c r="C94" t="s">
        <v>1247</v>
      </c>
      <c r="D94" t="s">
        <v>1248</v>
      </c>
      <c r="E94">
        <v>150</v>
      </c>
      <c r="F94">
        <v>1016455</v>
      </c>
    </row>
    <row r="95" spans="1:6">
      <c r="A95">
        <v>1231572</v>
      </c>
      <c r="B95" t="s">
        <v>796</v>
      </c>
      <c r="C95" t="s">
        <v>1249</v>
      </c>
      <c r="D95" t="s">
        <v>1250</v>
      </c>
      <c r="E95">
        <v>148</v>
      </c>
      <c r="F95">
        <v>1196650</v>
      </c>
    </row>
    <row r="96" spans="1:6">
      <c r="A96">
        <v>1881169</v>
      </c>
      <c r="B96" t="s">
        <v>149</v>
      </c>
      <c r="C96" t="s">
        <v>1251</v>
      </c>
      <c r="D96" t="s">
        <v>1252</v>
      </c>
      <c r="E96">
        <v>148</v>
      </c>
      <c r="F96">
        <v>1029274</v>
      </c>
    </row>
    <row r="97" spans="1:6">
      <c r="A97">
        <v>1011677</v>
      </c>
      <c r="B97" t="s">
        <v>323</v>
      </c>
      <c r="C97" t="s">
        <v>1253</v>
      </c>
      <c r="D97" t="s">
        <v>1254</v>
      </c>
      <c r="E97">
        <v>145</v>
      </c>
      <c r="F97">
        <v>1000596</v>
      </c>
    </row>
    <row r="98" spans="1:6">
      <c r="A98">
        <v>1001257</v>
      </c>
      <c r="B98" t="s">
        <v>1255</v>
      </c>
      <c r="C98" t="s">
        <v>1256</v>
      </c>
      <c r="D98" t="s">
        <v>1257</v>
      </c>
      <c r="E98">
        <v>145</v>
      </c>
      <c r="F98">
        <v>1003402</v>
      </c>
    </row>
    <row r="99" spans="1:6">
      <c r="A99">
        <v>1474981</v>
      </c>
      <c r="B99" t="s">
        <v>30</v>
      </c>
      <c r="C99" t="s">
        <v>1258</v>
      </c>
      <c r="D99" t="s">
        <v>1259</v>
      </c>
      <c r="E99">
        <v>145</v>
      </c>
      <c r="F99">
        <v>1062941</v>
      </c>
    </row>
    <row r="100" spans="1:6">
      <c r="A100">
        <v>1693014</v>
      </c>
      <c r="B100" t="s">
        <v>140</v>
      </c>
      <c r="C100" t="s">
        <v>1260</v>
      </c>
      <c r="D100" t="s">
        <v>1261</v>
      </c>
      <c r="E100">
        <v>144</v>
      </c>
      <c r="F100">
        <v>1443298</v>
      </c>
    </row>
    <row r="101" spans="1:6">
      <c r="A101">
        <v>1719813</v>
      </c>
      <c r="B101" t="s">
        <v>1262</v>
      </c>
      <c r="C101" t="s">
        <v>1263</v>
      </c>
      <c r="D101" t="s">
        <v>1264</v>
      </c>
      <c r="E101">
        <v>144</v>
      </c>
      <c r="F101">
        <v>1198863</v>
      </c>
    </row>
    <row r="102" spans="1:6">
      <c r="A102">
        <v>1794174</v>
      </c>
      <c r="B102" t="s">
        <v>1265</v>
      </c>
      <c r="C102" t="s">
        <v>1266</v>
      </c>
      <c r="D102" t="s">
        <v>1267</v>
      </c>
      <c r="E102">
        <v>143</v>
      </c>
      <c r="F102">
        <v>1437007</v>
      </c>
    </row>
    <row r="103" spans="1:6">
      <c r="A103">
        <v>1467558</v>
      </c>
      <c r="B103" t="s">
        <v>44</v>
      </c>
      <c r="C103" t="s">
        <v>1268</v>
      </c>
      <c r="D103" t="s">
        <v>1269</v>
      </c>
      <c r="E103">
        <v>141</v>
      </c>
      <c r="F103">
        <v>1043358</v>
      </c>
    </row>
    <row r="104" spans="1:6">
      <c r="A104">
        <v>1210715</v>
      </c>
      <c r="B104" t="s">
        <v>1044</v>
      </c>
      <c r="C104" t="s">
        <v>142</v>
      </c>
      <c r="D104" t="s">
        <v>1270</v>
      </c>
      <c r="E104">
        <v>141</v>
      </c>
      <c r="F104">
        <v>1105017</v>
      </c>
    </row>
    <row r="105" spans="1:6">
      <c r="A105">
        <v>1425320</v>
      </c>
      <c r="B105" t="s">
        <v>1271</v>
      </c>
      <c r="C105" t="s">
        <v>1272</v>
      </c>
      <c r="D105" t="s">
        <v>1273</v>
      </c>
      <c r="E105">
        <v>140</v>
      </c>
      <c r="F105">
        <v>1089654</v>
      </c>
    </row>
    <row r="106" spans="1:6">
      <c r="A106">
        <v>1002153</v>
      </c>
      <c r="B106" t="s">
        <v>193</v>
      </c>
      <c r="C106" t="s">
        <v>1274</v>
      </c>
      <c r="D106" t="s">
        <v>1275</v>
      </c>
      <c r="E106">
        <v>138</v>
      </c>
      <c r="F106">
        <v>1139526</v>
      </c>
    </row>
    <row r="107" spans="1:6">
      <c r="A107">
        <v>1055394</v>
      </c>
      <c r="B107" t="s">
        <v>44</v>
      </c>
      <c r="C107" t="s">
        <v>1276</v>
      </c>
      <c r="D107" t="s">
        <v>1277</v>
      </c>
      <c r="E107">
        <v>137</v>
      </c>
      <c r="F107">
        <v>1358111</v>
      </c>
    </row>
    <row r="108" spans="1:6">
      <c r="A108">
        <v>1808277</v>
      </c>
      <c r="B108" t="s">
        <v>3</v>
      </c>
      <c r="C108" t="s">
        <v>1278</v>
      </c>
      <c r="D108" t="s">
        <v>1279</v>
      </c>
      <c r="E108">
        <v>135</v>
      </c>
      <c r="F108">
        <v>1000676</v>
      </c>
    </row>
    <row r="109" spans="1:6">
      <c r="A109">
        <v>1378958</v>
      </c>
      <c r="B109" t="s">
        <v>167</v>
      </c>
      <c r="C109" t="s">
        <v>1280</v>
      </c>
      <c r="D109" t="s">
        <v>1281</v>
      </c>
      <c r="E109">
        <v>132</v>
      </c>
      <c r="F109">
        <v>1015061</v>
      </c>
    </row>
    <row r="110" spans="1:6">
      <c r="A110">
        <v>1754016</v>
      </c>
      <c r="B110" t="s">
        <v>1282</v>
      </c>
      <c r="C110" t="s">
        <v>464</v>
      </c>
      <c r="D110" t="s">
        <v>1283</v>
      </c>
      <c r="E110">
        <v>127</v>
      </c>
      <c r="F110">
        <v>1024074</v>
      </c>
    </row>
    <row r="111" spans="1:6">
      <c r="A111">
        <v>1738694</v>
      </c>
      <c r="B111" t="s">
        <v>102</v>
      </c>
      <c r="C111" t="s">
        <v>1284</v>
      </c>
      <c r="D111" t="s">
        <v>1285</v>
      </c>
      <c r="E111">
        <v>127</v>
      </c>
      <c r="F111">
        <v>1000892</v>
      </c>
    </row>
    <row r="112" spans="1:6">
      <c r="A112">
        <v>1014010</v>
      </c>
      <c r="B112" t="s">
        <v>339</v>
      </c>
      <c r="C112" t="s">
        <v>1286</v>
      </c>
      <c r="D112" t="s">
        <v>1287</v>
      </c>
      <c r="E112">
        <v>125</v>
      </c>
      <c r="F112">
        <v>1007339</v>
      </c>
    </row>
    <row r="113" spans="1:6">
      <c r="A113">
        <v>1000873</v>
      </c>
      <c r="B113" t="s">
        <v>65</v>
      </c>
      <c r="C113" t="s">
        <v>1288</v>
      </c>
      <c r="D113" t="s">
        <v>1289</v>
      </c>
      <c r="E113">
        <v>121</v>
      </c>
      <c r="F113">
        <v>1006267</v>
      </c>
    </row>
    <row r="114" spans="1:6">
      <c r="A114">
        <v>1094937</v>
      </c>
      <c r="B114" t="s">
        <v>1290</v>
      </c>
      <c r="C114" t="s">
        <v>1291</v>
      </c>
      <c r="D114" t="s">
        <v>1292</v>
      </c>
      <c r="E114">
        <v>121</v>
      </c>
      <c r="F114">
        <v>1022944</v>
      </c>
    </row>
    <row r="115" spans="1:6">
      <c r="A115">
        <v>1149302</v>
      </c>
      <c r="B115" t="s">
        <v>1293</v>
      </c>
      <c r="C115" t="s">
        <v>1294</v>
      </c>
      <c r="D115" t="s">
        <v>1295</v>
      </c>
      <c r="E115">
        <v>117</v>
      </c>
      <c r="F115">
        <v>1012793</v>
      </c>
    </row>
    <row r="116" spans="1:6">
      <c r="A116">
        <v>1633109</v>
      </c>
      <c r="B116" t="s">
        <v>119</v>
      </c>
      <c r="C116" t="s">
        <v>275</v>
      </c>
      <c r="D116" t="s">
        <v>1296</v>
      </c>
      <c r="E116">
        <v>113</v>
      </c>
      <c r="F116">
        <v>1567871</v>
      </c>
    </row>
    <row r="117" spans="1:6">
      <c r="A117">
        <v>1024867</v>
      </c>
      <c r="B117" t="s">
        <v>60</v>
      </c>
      <c r="C117" t="s">
        <v>1297</v>
      </c>
      <c r="D117" t="s">
        <v>1298</v>
      </c>
      <c r="E117">
        <v>109</v>
      </c>
      <c r="F117">
        <v>1001158</v>
      </c>
    </row>
    <row r="118" spans="1:6">
      <c r="A118">
        <v>1002179</v>
      </c>
      <c r="B118" t="s">
        <v>149</v>
      </c>
      <c r="C118" t="s">
        <v>1299</v>
      </c>
      <c r="D118" t="s">
        <v>1300</v>
      </c>
      <c r="E118">
        <v>105</v>
      </c>
      <c r="F118">
        <v>1154802</v>
      </c>
    </row>
    <row r="119" spans="1:6">
      <c r="A119">
        <v>1000706</v>
      </c>
      <c r="B119" t="s">
        <v>1301</v>
      </c>
      <c r="C119" t="s">
        <v>1302</v>
      </c>
      <c r="D119" t="s">
        <v>1303</v>
      </c>
      <c r="E119">
        <v>99</v>
      </c>
      <c r="F119">
        <v>1004087</v>
      </c>
    </row>
    <row r="2980" spans="4:4">
      <c r="D2980" s="10"/>
    </row>
    <row r="10948" spans="4:4">
      <c r="D10948" s="9"/>
    </row>
    <row r="18092" spans="4:4">
      <c r="D18092" s="9"/>
    </row>
    <row r="19898" spans="4:4">
      <c r="D19898" s="10"/>
    </row>
    <row r="22974" spans="4:4">
      <c r="D22974" s="9"/>
    </row>
    <row r="36752" spans="4:4">
      <c r="D36752" s="10"/>
    </row>
    <row r="65309" spans="4:4">
      <c r="D65309" s="10"/>
    </row>
    <row r="66594" spans="4:4">
      <c r="D66594" s="10"/>
    </row>
    <row r="94729" spans="4:4">
      <c r="D94729" s="10"/>
    </row>
    <row r="97302" spans="4:4">
      <c r="D97302" s="9"/>
    </row>
    <row r="97303" spans="4:4">
      <c r="D97303" s="9"/>
    </row>
    <row r="104675" spans="4:4">
      <c r="D104675" s="10"/>
    </row>
    <row r="105169" spans="4:4">
      <c r="D105169" s="9"/>
    </row>
    <row r="106557" spans="3:3">
      <c r="C106557" s="12"/>
    </row>
    <row r="123057" spans="4:4">
      <c r="D123057" s="11"/>
    </row>
    <row r="144683" spans="4:4">
      <c r="D144683" s="10"/>
    </row>
    <row r="164025" spans="4:4">
      <c r="D164025" s="9"/>
    </row>
    <row r="168296" spans="4:4">
      <c r="D168296" s="11"/>
    </row>
    <row r="203537" spans="4:4">
      <c r="D203537" s="10"/>
    </row>
    <row r="223167" spans="4:4">
      <c r="D223167" s="10"/>
    </row>
    <row r="223765" spans="4:4">
      <c r="D223765" s="10"/>
    </row>
    <row r="225925" spans="4:4">
      <c r="D225925" s="10"/>
    </row>
    <row r="227282" spans="4:4">
      <c r="D227282" s="11"/>
    </row>
    <row r="228669" spans="4:4">
      <c r="D228669" s="10"/>
    </row>
    <row r="228670" spans="4:4">
      <c r="D228670" s="10"/>
    </row>
    <row r="239816" spans="4:4">
      <c r="D239816" s="10"/>
    </row>
    <row r="262952" spans="4:4">
      <c r="D262952" s="10"/>
    </row>
    <row r="283789" spans="4:4">
      <c r="D283789" s="10"/>
    </row>
    <row r="306324" spans="3:3">
      <c r="C306324" s="12"/>
    </row>
    <row r="311432" spans="4:4">
      <c r="D311432" s="9"/>
    </row>
    <row r="338474" spans="4:4">
      <c r="D338474" s="11"/>
    </row>
    <row r="357882" spans="4:4">
      <c r="D357882" s="10"/>
    </row>
    <row r="358081" spans="4:4">
      <c r="D358081" s="9"/>
    </row>
  </sheetData>
  <sortState ref="A2:F360001">
    <sortCondition ref="E2"/>
  </sortState>
  <hyperlinks>
    <hyperlink ref="AF10" r:id="rId1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R381"/>
  <sheetViews>
    <sheetView zoomScaleNormal="100" workbookViewId="0">
      <selection activeCell="L2" sqref="L2"/>
    </sheetView>
  </sheetViews>
  <sheetFormatPr defaultRowHeight="15"/>
  <cols>
    <col min="2" max="2" width="14.5703125" customWidth="1"/>
    <col min="3" max="3" width="26" customWidth="1"/>
    <col min="4" max="4" width="26.42578125" customWidth="1"/>
    <col min="5" max="5" width="14.85546875" customWidth="1"/>
    <col min="11" max="11" width="13.7109375" customWidth="1"/>
  </cols>
  <sheetData>
    <row r="1" spans="1:18">
      <c r="A1" t="s">
        <v>446</v>
      </c>
      <c r="B1" t="s">
        <v>447</v>
      </c>
      <c r="C1" t="s">
        <v>448</v>
      </c>
      <c r="D1" t="s">
        <v>449</v>
      </c>
      <c r="E1" t="s">
        <v>450</v>
      </c>
      <c r="F1" t="s">
        <v>451</v>
      </c>
      <c r="G1" t="s">
        <v>452</v>
      </c>
      <c r="H1" t="s">
        <v>453</v>
      </c>
      <c r="I1" t="s">
        <v>454</v>
      </c>
      <c r="J1" t="s">
        <v>455</v>
      </c>
      <c r="K1" t="s">
        <v>456</v>
      </c>
      <c r="L1" t="s">
        <v>457</v>
      </c>
      <c r="M1" t="s">
        <v>458</v>
      </c>
      <c r="N1" t="s">
        <v>594</v>
      </c>
      <c r="O1" t="s">
        <v>772</v>
      </c>
    </row>
    <row r="2" spans="1:18">
      <c r="A2">
        <v>1</v>
      </c>
      <c r="B2" t="s">
        <v>834</v>
      </c>
      <c r="C2" t="s">
        <v>835</v>
      </c>
      <c r="D2" t="s">
        <v>836</v>
      </c>
      <c r="E2">
        <v>918899</v>
      </c>
      <c r="F2">
        <v>8</v>
      </c>
      <c r="G2">
        <v>4</v>
      </c>
      <c r="H2">
        <v>6</v>
      </c>
      <c r="I2">
        <v>31</v>
      </c>
      <c r="J2" t="s">
        <v>834</v>
      </c>
      <c r="K2" t="s">
        <v>837</v>
      </c>
      <c r="O2" t="str">
        <f>VLOOKUP(F2,$Q$3:$R$9,2,0)</f>
        <v>EPL</v>
      </c>
      <c r="Q2" t="s">
        <v>451</v>
      </c>
    </row>
    <row r="3" spans="1:18">
      <c r="A3">
        <v>1</v>
      </c>
      <c r="B3" t="s">
        <v>834</v>
      </c>
      <c r="C3" t="s">
        <v>835</v>
      </c>
      <c r="D3" t="s">
        <v>836</v>
      </c>
      <c r="E3">
        <v>918900</v>
      </c>
      <c r="F3">
        <v>8</v>
      </c>
      <c r="G3">
        <v>20</v>
      </c>
      <c r="H3">
        <v>80</v>
      </c>
      <c r="I3">
        <v>2370</v>
      </c>
      <c r="J3" t="s">
        <v>834</v>
      </c>
      <c r="K3" t="s">
        <v>837</v>
      </c>
      <c r="O3" t="str">
        <f t="shared" ref="O3:O66" si="0">VLOOKUP(F3,$Q$3:$R$9,2,0)</f>
        <v>EPL</v>
      </c>
      <c r="Q3">
        <v>8</v>
      </c>
      <c r="R3" t="s">
        <v>765</v>
      </c>
    </row>
    <row r="4" spans="1:18">
      <c r="A4">
        <v>1</v>
      </c>
      <c r="B4" t="s">
        <v>834</v>
      </c>
      <c r="C4" t="s">
        <v>835</v>
      </c>
      <c r="D4" t="s">
        <v>836</v>
      </c>
      <c r="E4">
        <v>918901</v>
      </c>
      <c r="F4">
        <v>8</v>
      </c>
      <c r="G4">
        <v>57</v>
      </c>
      <c r="H4">
        <v>14</v>
      </c>
      <c r="I4">
        <v>73</v>
      </c>
      <c r="J4" t="s">
        <v>834</v>
      </c>
      <c r="K4" t="s">
        <v>837</v>
      </c>
      <c r="O4" t="str">
        <f t="shared" si="0"/>
        <v>EPL</v>
      </c>
      <c r="Q4">
        <v>1</v>
      </c>
      <c r="R4" t="s">
        <v>766</v>
      </c>
    </row>
    <row r="5" spans="1:18">
      <c r="A5">
        <v>1</v>
      </c>
      <c r="B5" t="s">
        <v>834</v>
      </c>
      <c r="C5" t="s">
        <v>835</v>
      </c>
      <c r="D5" t="s">
        <v>836</v>
      </c>
      <c r="E5">
        <v>918902</v>
      </c>
      <c r="F5">
        <v>8</v>
      </c>
      <c r="G5">
        <v>35</v>
      </c>
      <c r="H5">
        <v>91</v>
      </c>
      <c r="I5">
        <v>51</v>
      </c>
      <c r="J5" t="s">
        <v>834</v>
      </c>
      <c r="K5" t="s">
        <v>837</v>
      </c>
      <c r="O5" t="str">
        <f t="shared" si="0"/>
        <v>EPL</v>
      </c>
      <c r="Q5">
        <v>2</v>
      </c>
      <c r="R5" t="s">
        <v>767</v>
      </c>
    </row>
    <row r="6" spans="1:18">
      <c r="A6">
        <v>1</v>
      </c>
      <c r="B6" t="s">
        <v>834</v>
      </c>
      <c r="C6" t="s">
        <v>835</v>
      </c>
      <c r="D6" t="s">
        <v>836</v>
      </c>
      <c r="E6">
        <v>918898</v>
      </c>
      <c r="F6">
        <v>8</v>
      </c>
      <c r="G6">
        <v>1</v>
      </c>
      <c r="H6">
        <v>21</v>
      </c>
      <c r="I6">
        <v>28</v>
      </c>
      <c r="J6" t="s">
        <v>834</v>
      </c>
      <c r="K6" t="s">
        <v>837</v>
      </c>
      <c r="O6" t="str">
        <f t="shared" si="0"/>
        <v>EPL</v>
      </c>
      <c r="Q6">
        <v>5</v>
      </c>
      <c r="R6" t="s">
        <v>768</v>
      </c>
    </row>
    <row r="7" spans="1:18">
      <c r="A7">
        <v>1</v>
      </c>
      <c r="B7" t="s">
        <v>834</v>
      </c>
      <c r="C7" t="s">
        <v>835</v>
      </c>
      <c r="D7" t="s">
        <v>836</v>
      </c>
      <c r="E7">
        <v>918897</v>
      </c>
      <c r="F7">
        <v>8</v>
      </c>
      <c r="G7">
        <v>11</v>
      </c>
      <c r="H7">
        <v>110</v>
      </c>
      <c r="I7">
        <v>37</v>
      </c>
      <c r="J7" t="s">
        <v>834</v>
      </c>
      <c r="K7" t="s">
        <v>837</v>
      </c>
      <c r="O7" t="str">
        <f t="shared" si="0"/>
        <v>EPL</v>
      </c>
      <c r="Q7">
        <v>6</v>
      </c>
      <c r="R7" t="s">
        <v>769</v>
      </c>
    </row>
    <row r="8" spans="1:18">
      <c r="A8">
        <v>1</v>
      </c>
      <c r="B8" t="s">
        <v>834</v>
      </c>
      <c r="C8" t="s">
        <v>835</v>
      </c>
      <c r="D8" t="s">
        <v>836</v>
      </c>
      <c r="E8">
        <v>918894</v>
      </c>
      <c r="F8">
        <v>8</v>
      </c>
      <c r="G8">
        <v>36</v>
      </c>
      <c r="H8">
        <v>43</v>
      </c>
      <c r="I8">
        <v>7403</v>
      </c>
      <c r="J8" t="s">
        <v>834</v>
      </c>
      <c r="K8" t="s">
        <v>837</v>
      </c>
      <c r="O8" t="str">
        <f t="shared" si="0"/>
        <v>EPL</v>
      </c>
      <c r="Q8">
        <v>232</v>
      </c>
      <c r="R8" t="s">
        <v>770</v>
      </c>
    </row>
    <row r="9" spans="1:18">
      <c r="A9">
        <v>1</v>
      </c>
      <c r="B9" t="s">
        <v>834</v>
      </c>
      <c r="C9" t="s">
        <v>835</v>
      </c>
      <c r="D9" t="s">
        <v>836</v>
      </c>
      <c r="E9">
        <v>918895</v>
      </c>
      <c r="F9">
        <v>8</v>
      </c>
      <c r="G9">
        <v>8</v>
      </c>
      <c r="H9">
        <v>90</v>
      </c>
      <c r="I9">
        <v>35</v>
      </c>
      <c r="J9" t="s">
        <v>834</v>
      </c>
      <c r="K9" t="s">
        <v>837</v>
      </c>
      <c r="O9" t="str">
        <f t="shared" si="0"/>
        <v>EPL</v>
      </c>
      <c r="Q9">
        <v>524</v>
      </c>
      <c r="R9" t="s">
        <v>771</v>
      </c>
    </row>
    <row r="10" spans="1:18">
      <c r="A10">
        <v>1</v>
      </c>
      <c r="B10" t="s">
        <v>834</v>
      </c>
      <c r="C10" t="s">
        <v>835</v>
      </c>
      <c r="D10" t="s">
        <v>836</v>
      </c>
      <c r="E10">
        <v>918896</v>
      </c>
      <c r="F10">
        <v>8</v>
      </c>
      <c r="G10">
        <v>31</v>
      </c>
      <c r="H10">
        <v>38</v>
      </c>
      <c r="I10">
        <v>48</v>
      </c>
      <c r="J10" t="s">
        <v>834</v>
      </c>
      <c r="K10" t="s">
        <v>837</v>
      </c>
      <c r="O10" t="str">
        <f t="shared" si="0"/>
        <v>EPL</v>
      </c>
    </row>
    <row r="11" spans="1:18">
      <c r="A11">
        <v>1</v>
      </c>
      <c r="B11" t="s">
        <v>834</v>
      </c>
      <c r="C11" t="s">
        <v>835</v>
      </c>
      <c r="D11" t="s">
        <v>836</v>
      </c>
      <c r="E11">
        <v>918893</v>
      </c>
      <c r="F11">
        <v>8</v>
      </c>
      <c r="G11">
        <v>3</v>
      </c>
      <c r="H11">
        <v>13</v>
      </c>
      <c r="I11">
        <v>3250</v>
      </c>
      <c r="J11" t="s">
        <v>834</v>
      </c>
      <c r="K11" t="s">
        <v>837</v>
      </c>
      <c r="O11" t="str">
        <f t="shared" si="0"/>
        <v>EPL</v>
      </c>
    </row>
    <row r="12" spans="1:18">
      <c r="A12">
        <v>2</v>
      </c>
      <c r="B12" t="s">
        <v>834</v>
      </c>
      <c r="C12" t="s">
        <v>838</v>
      </c>
      <c r="D12" t="s">
        <v>839</v>
      </c>
      <c r="E12">
        <v>918909</v>
      </c>
      <c r="F12">
        <v>8</v>
      </c>
      <c r="G12">
        <v>110</v>
      </c>
      <c r="H12">
        <v>3</v>
      </c>
      <c r="I12">
        <v>1</v>
      </c>
      <c r="J12" t="s">
        <v>834</v>
      </c>
      <c r="K12" t="s">
        <v>840</v>
      </c>
      <c r="O12" t="str">
        <f t="shared" si="0"/>
        <v>EPL</v>
      </c>
    </row>
    <row r="13" spans="1:18">
      <c r="A13">
        <v>2</v>
      </c>
      <c r="B13" t="s">
        <v>834</v>
      </c>
      <c r="C13" t="s">
        <v>838</v>
      </c>
      <c r="D13" t="s">
        <v>839</v>
      </c>
      <c r="E13">
        <v>918910</v>
      </c>
      <c r="F13">
        <v>8</v>
      </c>
      <c r="G13">
        <v>80</v>
      </c>
      <c r="H13">
        <v>1</v>
      </c>
      <c r="I13">
        <v>2867</v>
      </c>
      <c r="J13" t="s">
        <v>834</v>
      </c>
      <c r="K13" t="s">
        <v>840</v>
      </c>
      <c r="O13" t="str">
        <f t="shared" si="0"/>
        <v>EPL</v>
      </c>
    </row>
    <row r="14" spans="1:18">
      <c r="A14">
        <v>2</v>
      </c>
      <c r="B14" t="s">
        <v>834</v>
      </c>
      <c r="C14" t="s">
        <v>838</v>
      </c>
      <c r="D14" t="s">
        <v>839</v>
      </c>
      <c r="E14">
        <v>918911</v>
      </c>
      <c r="F14">
        <v>8</v>
      </c>
      <c r="G14">
        <v>6</v>
      </c>
      <c r="H14">
        <v>8</v>
      </c>
      <c r="I14">
        <v>5</v>
      </c>
      <c r="J14" t="s">
        <v>834</v>
      </c>
      <c r="K14" t="s">
        <v>840</v>
      </c>
      <c r="O14" t="str">
        <f t="shared" si="0"/>
        <v>EPL</v>
      </c>
    </row>
    <row r="15" spans="1:18">
      <c r="A15">
        <v>2</v>
      </c>
      <c r="B15" t="s">
        <v>834</v>
      </c>
      <c r="C15" t="s">
        <v>838</v>
      </c>
      <c r="D15" t="s">
        <v>839</v>
      </c>
      <c r="E15">
        <v>919210</v>
      </c>
      <c r="F15">
        <v>8</v>
      </c>
      <c r="G15">
        <v>20</v>
      </c>
      <c r="H15">
        <v>21</v>
      </c>
      <c r="I15">
        <v>2370</v>
      </c>
      <c r="J15" t="s">
        <v>834</v>
      </c>
      <c r="K15" t="s">
        <v>840</v>
      </c>
      <c r="O15" t="str">
        <f t="shared" si="0"/>
        <v>EPL</v>
      </c>
    </row>
    <row r="16" spans="1:18">
      <c r="A16">
        <v>2</v>
      </c>
      <c r="B16" t="s">
        <v>834</v>
      </c>
      <c r="C16" t="s">
        <v>838</v>
      </c>
      <c r="D16" t="s">
        <v>839</v>
      </c>
      <c r="E16">
        <v>918908</v>
      </c>
      <c r="F16">
        <v>8</v>
      </c>
      <c r="G16">
        <v>43</v>
      </c>
      <c r="H16">
        <v>11</v>
      </c>
      <c r="I16">
        <v>2691</v>
      </c>
      <c r="J16" t="s">
        <v>834</v>
      </c>
      <c r="K16" t="s">
        <v>840</v>
      </c>
      <c r="O16" t="str">
        <f t="shared" si="0"/>
        <v>EPL</v>
      </c>
    </row>
    <row r="17" spans="1:15">
      <c r="A17">
        <v>2</v>
      </c>
      <c r="B17" t="s">
        <v>834</v>
      </c>
      <c r="C17" t="s">
        <v>838</v>
      </c>
      <c r="D17" t="s">
        <v>839</v>
      </c>
      <c r="E17">
        <v>918907</v>
      </c>
      <c r="F17">
        <v>8</v>
      </c>
      <c r="G17">
        <v>14</v>
      </c>
      <c r="H17">
        <v>31</v>
      </c>
      <c r="I17">
        <v>39</v>
      </c>
      <c r="J17" t="s">
        <v>834</v>
      </c>
      <c r="K17" t="s">
        <v>840</v>
      </c>
      <c r="O17" t="str">
        <f t="shared" si="0"/>
        <v>EPL</v>
      </c>
    </row>
    <row r="18" spans="1:15">
      <c r="A18">
        <v>2</v>
      </c>
      <c r="B18" t="s">
        <v>834</v>
      </c>
      <c r="C18" t="s">
        <v>838</v>
      </c>
      <c r="D18" t="s">
        <v>839</v>
      </c>
      <c r="E18">
        <v>918904</v>
      </c>
      <c r="F18">
        <v>8</v>
      </c>
      <c r="G18">
        <v>90</v>
      </c>
      <c r="H18">
        <v>35</v>
      </c>
      <c r="I18">
        <v>88</v>
      </c>
      <c r="J18" t="s">
        <v>834</v>
      </c>
      <c r="K18" t="s">
        <v>840</v>
      </c>
      <c r="O18" t="str">
        <f t="shared" si="0"/>
        <v>EPL</v>
      </c>
    </row>
    <row r="19" spans="1:15">
      <c r="A19">
        <v>2</v>
      </c>
      <c r="B19" t="s">
        <v>834</v>
      </c>
      <c r="C19" t="s">
        <v>838</v>
      </c>
      <c r="D19" t="s">
        <v>839</v>
      </c>
      <c r="E19">
        <v>918905</v>
      </c>
      <c r="F19">
        <v>8</v>
      </c>
      <c r="G19">
        <v>38</v>
      </c>
      <c r="H19">
        <v>4</v>
      </c>
      <c r="I19">
        <v>54</v>
      </c>
      <c r="J19" t="s">
        <v>834</v>
      </c>
      <c r="K19" t="s">
        <v>840</v>
      </c>
      <c r="O19" t="str">
        <f t="shared" si="0"/>
        <v>EPL</v>
      </c>
    </row>
    <row r="20" spans="1:15">
      <c r="A20">
        <v>2</v>
      </c>
      <c r="B20" t="s">
        <v>834</v>
      </c>
      <c r="C20" t="s">
        <v>838</v>
      </c>
      <c r="D20" t="s">
        <v>839</v>
      </c>
      <c r="E20">
        <v>918906</v>
      </c>
      <c r="F20">
        <v>8</v>
      </c>
      <c r="G20">
        <v>13</v>
      </c>
      <c r="H20">
        <v>36</v>
      </c>
      <c r="I20">
        <v>2516</v>
      </c>
      <c r="J20" t="s">
        <v>834</v>
      </c>
      <c r="K20" t="s">
        <v>840</v>
      </c>
      <c r="O20" t="str">
        <f t="shared" si="0"/>
        <v>EPL</v>
      </c>
    </row>
    <row r="21" spans="1:15">
      <c r="A21">
        <v>2</v>
      </c>
      <c r="B21" t="s">
        <v>834</v>
      </c>
      <c r="C21" t="s">
        <v>838</v>
      </c>
      <c r="D21" t="s">
        <v>839</v>
      </c>
      <c r="E21">
        <v>918903</v>
      </c>
      <c r="F21">
        <v>8</v>
      </c>
      <c r="G21">
        <v>91</v>
      </c>
      <c r="H21">
        <v>57</v>
      </c>
      <c r="I21">
        <v>2734</v>
      </c>
      <c r="J21" t="s">
        <v>834</v>
      </c>
      <c r="K21" t="s">
        <v>840</v>
      </c>
      <c r="O21" t="str">
        <f t="shared" si="0"/>
        <v>EPL</v>
      </c>
    </row>
    <row r="22" spans="1:15">
      <c r="A22">
        <v>3</v>
      </c>
      <c r="B22" t="s">
        <v>834</v>
      </c>
      <c r="C22" t="s">
        <v>841</v>
      </c>
      <c r="D22" t="s">
        <v>842</v>
      </c>
      <c r="E22">
        <v>918919</v>
      </c>
      <c r="F22">
        <v>8</v>
      </c>
      <c r="G22">
        <v>4</v>
      </c>
      <c r="H22">
        <v>21</v>
      </c>
      <c r="I22">
        <v>31</v>
      </c>
      <c r="J22" t="s">
        <v>834</v>
      </c>
      <c r="K22" t="s">
        <v>843</v>
      </c>
      <c r="O22" t="str">
        <f t="shared" si="0"/>
        <v>EPL</v>
      </c>
    </row>
    <row r="23" spans="1:15">
      <c r="A23">
        <v>3</v>
      </c>
      <c r="B23" t="s">
        <v>834</v>
      </c>
      <c r="C23" t="s">
        <v>841</v>
      </c>
      <c r="D23" t="s">
        <v>842</v>
      </c>
      <c r="E23">
        <v>918920</v>
      </c>
      <c r="F23">
        <v>8</v>
      </c>
      <c r="G23">
        <v>6</v>
      </c>
      <c r="H23">
        <v>90</v>
      </c>
      <c r="I23">
        <v>5</v>
      </c>
      <c r="J23" t="s">
        <v>834</v>
      </c>
      <c r="K23" t="s">
        <v>843</v>
      </c>
      <c r="O23" t="str">
        <f t="shared" si="0"/>
        <v>EPL</v>
      </c>
    </row>
    <row r="24" spans="1:15">
      <c r="A24">
        <v>3</v>
      </c>
      <c r="B24" t="s">
        <v>834</v>
      </c>
      <c r="C24" t="s">
        <v>841</v>
      </c>
      <c r="D24" t="s">
        <v>842</v>
      </c>
      <c r="E24">
        <v>918921</v>
      </c>
      <c r="F24">
        <v>8</v>
      </c>
      <c r="G24">
        <v>57</v>
      </c>
      <c r="H24">
        <v>36</v>
      </c>
      <c r="I24">
        <v>73</v>
      </c>
      <c r="J24" t="s">
        <v>834</v>
      </c>
      <c r="K24" t="s">
        <v>843</v>
      </c>
      <c r="O24" t="str">
        <f t="shared" si="0"/>
        <v>EPL</v>
      </c>
    </row>
    <row r="25" spans="1:15">
      <c r="A25">
        <v>3</v>
      </c>
      <c r="B25" t="s">
        <v>834</v>
      </c>
      <c r="C25" t="s">
        <v>841</v>
      </c>
      <c r="D25" t="s">
        <v>842</v>
      </c>
      <c r="E25">
        <v>918922</v>
      </c>
      <c r="F25">
        <v>8</v>
      </c>
      <c r="G25">
        <v>35</v>
      </c>
      <c r="H25">
        <v>110</v>
      </c>
      <c r="I25">
        <v>51</v>
      </c>
      <c r="J25" t="s">
        <v>834</v>
      </c>
      <c r="K25" t="s">
        <v>843</v>
      </c>
      <c r="O25" t="str">
        <f t="shared" si="0"/>
        <v>EPL</v>
      </c>
    </row>
    <row r="26" spans="1:15">
      <c r="A26">
        <v>3</v>
      </c>
      <c r="B26" t="s">
        <v>834</v>
      </c>
      <c r="C26" t="s">
        <v>841</v>
      </c>
      <c r="D26" t="s">
        <v>842</v>
      </c>
      <c r="E26">
        <v>918918</v>
      </c>
      <c r="F26">
        <v>8</v>
      </c>
      <c r="G26">
        <v>1</v>
      </c>
      <c r="H26">
        <v>13</v>
      </c>
      <c r="I26">
        <v>28</v>
      </c>
      <c r="J26" t="s">
        <v>834</v>
      </c>
      <c r="K26" t="s">
        <v>843</v>
      </c>
      <c r="O26" t="str">
        <f t="shared" si="0"/>
        <v>EPL</v>
      </c>
    </row>
    <row r="27" spans="1:15">
      <c r="A27">
        <v>3</v>
      </c>
      <c r="B27" t="s">
        <v>834</v>
      </c>
      <c r="C27" t="s">
        <v>841</v>
      </c>
      <c r="D27" t="s">
        <v>842</v>
      </c>
      <c r="E27">
        <v>918917</v>
      </c>
      <c r="F27">
        <v>8</v>
      </c>
      <c r="G27">
        <v>14</v>
      </c>
      <c r="H27">
        <v>3</v>
      </c>
      <c r="I27">
        <v>39</v>
      </c>
      <c r="J27" t="s">
        <v>834</v>
      </c>
      <c r="K27" t="s">
        <v>843</v>
      </c>
      <c r="O27" t="str">
        <f t="shared" si="0"/>
        <v>EPL</v>
      </c>
    </row>
    <row r="28" spans="1:15">
      <c r="A28">
        <v>3</v>
      </c>
      <c r="B28" t="s">
        <v>834</v>
      </c>
      <c r="C28" t="s">
        <v>841</v>
      </c>
      <c r="D28" t="s">
        <v>842</v>
      </c>
      <c r="E28">
        <v>918914</v>
      </c>
      <c r="F28">
        <v>8</v>
      </c>
      <c r="G28">
        <v>8</v>
      </c>
      <c r="H28">
        <v>11</v>
      </c>
      <c r="I28">
        <v>35</v>
      </c>
      <c r="J28" t="s">
        <v>834</v>
      </c>
      <c r="K28" t="s">
        <v>843</v>
      </c>
      <c r="O28" t="str">
        <f t="shared" si="0"/>
        <v>EPL</v>
      </c>
    </row>
    <row r="29" spans="1:15">
      <c r="A29">
        <v>3</v>
      </c>
      <c r="B29" t="s">
        <v>834</v>
      </c>
      <c r="C29" t="s">
        <v>841</v>
      </c>
      <c r="D29" t="s">
        <v>842</v>
      </c>
      <c r="E29">
        <v>918915</v>
      </c>
      <c r="F29">
        <v>8</v>
      </c>
      <c r="G29">
        <v>31</v>
      </c>
      <c r="H29">
        <v>80</v>
      </c>
      <c r="I29">
        <v>48</v>
      </c>
      <c r="J29" t="s">
        <v>834</v>
      </c>
      <c r="K29" t="s">
        <v>843</v>
      </c>
      <c r="O29" t="str">
        <f t="shared" si="0"/>
        <v>EPL</v>
      </c>
    </row>
    <row r="30" spans="1:15">
      <c r="A30">
        <v>3</v>
      </c>
      <c r="B30" t="s">
        <v>834</v>
      </c>
      <c r="C30" t="s">
        <v>841</v>
      </c>
      <c r="D30" t="s">
        <v>842</v>
      </c>
      <c r="E30">
        <v>918916</v>
      </c>
      <c r="F30">
        <v>8</v>
      </c>
      <c r="G30">
        <v>38</v>
      </c>
      <c r="H30">
        <v>20</v>
      </c>
      <c r="I30">
        <v>54</v>
      </c>
      <c r="J30" t="s">
        <v>834</v>
      </c>
      <c r="K30" t="s">
        <v>843</v>
      </c>
      <c r="O30" t="str">
        <f t="shared" si="0"/>
        <v>EPL</v>
      </c>
    </row>
    <row r="31" spans="1:15">
      <c r="A31">
        <v>3</v>
      </c>
      <c r="B31" t="s">
        <v>834</v>
      </c>
      <c r="C31" t="s">
        <v>841</v>
      </c>
      <c r="D31" t="s">
        <v>842</v>
      </c>
      <c r="E31">
        <v>918913</v>
      </c>
      <c r="F31">
        <v>8</v>
      </c>
      <c r="G31">
        <v>91</v>
      </c>
      <c r="H31">
        <v>43</v>
      </c>
      <c r="I31">
        <v>2734</v>
      </c>
      <c r="J31" t="s">
        <v>834</v>
      </c>
      <c r="K31" t="s">
        <v>843</v>
      </c>
      <c r="O31" t="str">
        <f t="shared" si="0"/>
        <v>EPL</v>
      </c>
    </row>
    <row r="32" spans="1:15">
      <c r="A32">
        <v>4</v>
      </c>
      <c r="B32" t="s">
        <v>834</v>
      </c>
      <c r="C32" t="s">
        <v>844</v>
      </c>
      <c r="D32" t="s">
        <v>845</v>
      </c>
      <c r="E32">
        <v>918929</v>
      </c>
      <c r="F32">
        <v>8</v>
      </c>
      <c r="G32">
        <v>20</v>
      </c>
      <c r="H32">
        <v>57</v>
      </c>
      <c r="I32">
        <v>2370</v>
      </c>
      <c r="J32" t="s">
        <v>834</v>
      </c>
      <c r="K32" t="s">
        <v>846</v>
      </c>
      <c r="O32" t="str">
        <f t="shared" si="0"/>
        <v>EPL</v>
      </c>
    </row>
    <row r="33" spans="1:15">
      <c r="A33">
        <v>4</v>
      </c>
      <c r="B33" t="s">
        <v>834</v>
      </c>
      <c r="C33" t="s">
        <v>844</v>
      </c>
      <c r="D33" t="s">
        <v>845</v>
      </c>
      <c r="E33">
        <v>918930</v>
      </c>
      <c r="F33">
        <v>8</v>
      </c>
      <c r="G33">
        <v>110</v>
      </c>
      <c r="H33">
        <v>1</v>
      </c>
      <c r="I33">
        <v>1</v>
      </c>
      <c r="J33" t="s">
        <v>834</v>
      </c>
      <c r="K33" t="s">
        <v>846</v>
      </c>
      <c r="O33" t="str">
        <f t="shared" si="0"/>
        <v>EPL</v>
      </c>
    </row>
    <row r="34" spans="1:15">
      <c r="A34">
        <v>4</v>
      </c>
      <c r="B34" t="s">
        <v>834</v>
      </c>
      <c r="C34" t="s">
        <v>844</v>
      </c>
      <c r="D34" t="s">
        <v>845</v>
      </c>
      <c r="E34">
        <v>918931</v>
      </c>
      <c r="F34">
        <v>8</v>
      </c>
      <c r="G34">
        <v>80</v>
      </c>
      <c r="H34">
        <v>4</v>
      </c>
      <c r="I34">
        <v>2867</v>
      </c>
      <c r="J34" t="s">
        <v>834</v>
      </c>
      <c r="K34" t="s">
        <v>846</v>
      </c>
      <c r="O34" t="str">
        <f t="shared" si="0"/>
        <v>EPL</v>
      </c>
    </row>
    <row r="35" spans="1:15">
      <c r="A35">
        <v>4</v>
      </c>
      <c r="B35" t="s">
        <v>834</v>
      </c>
      <c r="C35" t="s">
        <v>844</v>
      </c>
      <c r="D35" t="s">
        <v>845</v>
      </c>
      <c r="E35">
        <v>918932</v>
      </c>
      <c r="F35">
        <v>8</v>
      </c>
      <c r="G35">
        <v>21</v>
      </c>
      <c r="H35">
        <v>38</v>
      </c>
      <c r="I35">
        <v>11249</v>
      </c>
      <c r="J35" t="s">
        <v>834</v>
      </c>
      <c r="K35" t="s">
        <v>846</v>
      </c>
      <c r="O35" t="str">
        <f t="shared" si="0"/>
        <v>EPL</v>
      </c>
    </row>
    <row r="36" spans="1:15">
      <c r="A36">
        <v>4</v>
      </c>
      <c r="B36" t="s">
        <v>834</v>
      </c>
      <c r="C36" t="s">
        <v>844</v>
      </c>
      <c r="D36" t="s">
        <v>845</v>
      </c>
      <c r="E36">
        <v>918928</v>
      </c>
      <c r="F36">
        <v>8</v>
      </c>
      <c r="G36">
        <v>43</v>
      </c>
      <c r="H36">
        <v>14</v>
      </c>
      <c r="I36">
        <v>2691</v>
      </c>
      <c r="J36" t="s">
        <v>834</v>
      </c>
      <c r="K36" t="s">
        <v>846</v>
      </c>
      <c r="O36" t="str">
        <f t="shared" si="0"/>
        <v>EPL</v>
      </c>
    </row>
    <row r="37" spans="1:15">
      <c r="A37">
        <v>4</v>
      </c>
      <c r="B37" t="s">
        <v>834</v>
      </c>
      <c r="C37" t="s">
        <v>844</v>
      </c>
      <c r="D37" t="s">
        <v>845</v>
      </c>
      <c r="E37">
        <v>918927</v>
      </c>
      <c r="F37">
        <v>8</v>
      </c>
      <c r="G37">
        <v>13</v>
      </c>
      <c r="H37">
        <v>8</v>
      </c>
      <c r="I37">
        <v>2516</v>
      </c>
      <c r="J37" t="s">
        <v>834</v>
      </c>
      <c r="K37" t="s">
        <v>846</v>
      </c>
      <c r="O37" t="str">
        <f t="shared" si="0"/>
        <v>EPL</v>
      </c>
    </row>
    <row r="38" spans="1:15">
      <c r="A38">
        <v>4</v>
      </c>
      <c r="B38" t="s">
        <v>834</v>
      </c>
      <c r="C38" t="s">
        <v>844</v>
      </c>
      <c r="D38" t="s">
        <v>845</v>
      </c>
      <c r="E38">
        <v>918924</v>
      </c>
      <c r="F38">
        <v>8</v>
      </c>
      <c r="G38">
        <v>36</v>
      </c>
      <c r="H38">
        <v>35</v>
      </c>
      <c r="I38">
        <v>7403</v>
      </c>
      <c r="J38" t="s">
        <v>834</v>
      </c>
      <c r="K38" t="s">
        <v>846</v>
      </c>
      <c r="O38" t="str">
        <f t="shared" si="0"/>
        <v>EPL</v>
      </c>
    </row>
    <row r="39" spans="1:15">
      <c r="A39">
        <v>4</v>
      </c>
      <c r="B39" t="s">
        <v>834</v>
      </c>
      <c r="C39" t="s">
        <v>844</v>
      </c>
      <c r="D39" t="s">
        <v>845</v>
      </c>
      <c r="E39">
        <v>918925</v>
      </c>
      <c r="F39">
        <v>8</v>
      </c>
      <c r="G39">
        <v>90</v>
      </c>
      <c r="H39">
        <v>31</v>
      </c>
      <c r="I39">
        <v>88</v>
      </c>
      <c r="J39" t="s">
        <v>834</v>
      </c>
      <c r="K39" t="s">
        <v>846</v>
      </c>
      <c r="O39" t="str">
        <f t="shared" si="0"/>
        <v>EPL</v>
      </c>
    </row>
    <row r="40" spans="1:15">
      <c r="A40">
        <v>4</v>
      </c>
      <c r="B40" t="s">
        <v>834</v>
      </c>
      <c r="C40" t="s">
        <v>844</v>
      </c>
      <c r="D40" t="s">
        <v>845</v>
      </c>
      <c r="E40">
        <v>918926</v>
      </c>
      <c r="F40">
        <v>8</v>
      </c>
      <c r="G40">
        <v>11</v>
      </c>
      <c r="H40">
        <v>6</v>
      </c>
      <c r="I40">
        <v>37</v>
      </c>
      <c r="J40" t="s">
        <v>834</v>
      </c>
      <c r="K40" t="s">
        <v>846</v>
      </c>
      <c r="O40" t="str">
        <f t="shared" si="0"/>
        <v>EPL</v>
      </c>
    </row>
    <row r="41" spans="1:15">
      <c r="A41">
        <v>4</v>
      </c>
      <c r="B41" t="s">
        <v>834</v>
      </c>
      <c r="C41" t="s">
        <v>844</v>
      </c>
      <c r="D41" t="s">
        <v>845</v>
      </c>
      <c r="E41">
        <v>918923</v>
      </c>
      <c r="F41">
        <v>8</v>
      </c>
      <c r="G41">
        <v>3</v>
      </c>
      <c r="H41">
        <v>91</v>
      </c>
      <c r="I41">
        <v>3250</v>
      </c>
      <c r="J41" t="s">
        <v>834</v>
      </c>
      <c r="K41" t="s">
        <v>846</v>
      </c>
      <c r="O41" t="str">
        <f t="shared" si="0"/>
        <v>EPL</v>
      </c>
    </row>
    <row r="42" spans="1:15">
      <c r="A42">
        <v>5</v>
      </c>
      <c r="B42" t="s">
        <v>834</v>
      </c>
      <c r="C42" t="s">
        <v>847</v>
      </c>
      <c r="D42" t="s">
        <v>848</v>
      </c>
      <c r="E42">
        <v>918939</v>
      </c>
      <c r="F42">
        <v>8</v>
      </c>
      <c r="G42">
        <v>4</v>
      </c>
      <c r="H42">
        <v>110</v>
      </c>
      <c r="I42">
        <v>31</v>
      </c>
      <c r="J42" t="s">
        <v>834</v>
      </c>
      <c r="K42" t="s">
        <v>849</v>
      </c>
      <c r="O42" t="str">
        <f t="shared" si="0"/>
        <v>EPL</v>
      </c>
    </row>
    <row r="43" spans="1:15">
      <c r="A43">
        <v>5</v>
      </c>
      <c r="B43" t="s">
        <v>834</v>
      </c>
      <c r="C43" t="s">
        <v>847</v>
      </c>
      <c r="D43" t="s">
        <v>848</v>
      </c>
      <c r="E43">
        <v>918940</v>
      </c>
      <c r="F43">
        <v>8</v>
      </c>
      <c r="G43">
        <v>6</v>
      </c>
      <c r="H43">
        <v>80</v>
      </c>
      <c r="I43">
        <v>5</v>
      </c>
      <c r="J43" t="s">
        <v>834</v>
      </c>
      <c r="K43" t="s">
        <v>849</v>
      </c>
      <c r="O43" t="str">
        <f t="shared" si="0"/>
        <v>EPL</v>
      </c>
    </row>
    <row r="44" spans="1:15">
      <c r="A44">
        <v>5</v>
      </c>
      <c r="B44" t="s">
        <v>834</v>
      </c>
      <c r="C44" t="s">
        <v>847</v>
      </c>
      <c r="D44" t="s">
        <v>848</v>
      </c>
      <c r="E44">
        <v>918941</v>
      </c>
      <c r="F44">
        <v>8</v>
      </c>
      <c r="G44">
        <v>57</v>
      </c>
      <c r="H44">
        <v>43</v>
      </c>
      <c r="I44">
        <v>73</v>
      </c>
      <c r="J44" t="s">
        <v>834</v>
      </c>
      <c r="K44" t="s">
        <v>849</v>
      </c>
      <c r="O44" t="str">
        <f t="shared" si="0"/>
        <v>EPL</v>
      </c>
    </row>
    <row r="45" spans="1:15">
      <c r="A45">
        <v>5</v>
      </c>
      <c r="B45" t="s">
        <v>834</v>
      </c>
      <c r="C45" t="s">
        <v>847</v>
      </c>
      <c r="D45" t="s">
        <v>848</v>
      </c>
      <c r="E45">
        <v>918942</v>
      </c>
      <c r="F45">
        <v>8</v>
      </c>
      <c r="G45">
        <v>35</v>
      </c>
      <c r="H45">
        <v>21</v>
      </c>
      <c r="I45">
        <v>51</v>
      </c>
      <c r="J45" t="s">
        <v>834</v>
      </c>
      <c r="K45" t="s">
        <v>849</v>
      </c>
      <c r="O45" t="str">
        <f t="shared" si="0"/>
        <v>EPL</v>
      </c>
    </row>
    <row r="46" spans="1:15">
      <c r="A46">
        <v>5</v>
      </c>
      <c r="B46" t="s">
        <v>834</v>
      </c>
      <c r="C46" t="s">
        <v>847</v>
      </c>
      <c r="D46" t="s">
        <v>848</v>
      </c>
      <c r="E46">
        <v>918938</v>
      </c>
      <c r="F46">
        <v>8</v>
      </c>
      <c r="G46">
        <v>1</v>
      </c>
      <c r="H46">
        <v>11</v>
      </c>
      <c r="I46">
        <v>28</v>
      </c>
      <c r="J46" t="s">
        <v>834</v>
      </c>
      <c r="K46" t="s">
        <v>849</v>
      </c>
      <c r="O46" t="str">
        <f t="shared" si="0"/>
        <v>EPL</v>
      </c>
    </row>
    <row r="47" spans="1:15">
      <c r="A47">
        <v>5</v>
      </c>
      <c r="B47" t="s">
        <v>834</v>
      </c>
      <c r="C47" t="s">
        <v>847</v>
      </c>
      <c r="D47" t="s">
        <v>848</v>
      </c>
      <c r="E47">
        <v>918937</v>
      </c>
      <c r="F47">
        <v>8</v>
      </c>
      <c r="G47">
        <v>14</v>
      </c>
      <c r="H47">
        <v>90</v>
      </c>
      <c r="I47">
        <v>39</v>
      </c>
      <c r="J47" t="s">
        <v>834</v>
      </c>
      <c r="K47" t="s">
        <v>849</v>
      </c>
      <c r="O47" t="str">
        <f t="shared" si="0"/>
        <v>EPL</v>
      </c>
    </row>
    <row r="48" spans="1:15">
      <c r="A48">
        <v>5</v>
      </c>
      <c r="B48" t="s">
        <v>834</v>
      </c>
      <c r="C48" t="s">
        <v>847</v>
      </c>
      <c r="D48" t="s">
        <v>848</v>
      </c>
      <c r="E48">
        <v>918934</v>
      </c>
      <c r="F48">
        <v>8</v>
      </c>
      <c r="G48">
        <v>8</v>
      </c>
      <c r="H48">
        <v>3</v>
      </c>
      <c r="I48">
        <v>35</v>
      </c>
      <c r="J48" t="s">
        <v>834</v>
      </c>
      <c r="K48" t="s">
        <v>849</v>
      </c>
      <c r="O48" t="str">
        <f t="shared" si="0"/>
        <v>EPL</v>
      </c>
    </row>
    <row r="49" spans="1:15">
      <c r="A49">
        <v>5</v>
      </c>
      <c r="B49" t="s">
        <v>834</v>
      </c>
      <c r="C49" t="s">
        <v>847</v>
      </c>
      <c r="D49" t="s">
        <v>848</v>
      </c>
      <c r="E49">
        <v>918935</v>
      </c>
      <c r="F49">
        <v>8</v>
      </c>
      <c r="G49">
        <v>31</v>
      </c>
      <c r="H49">
        <v>20</v>
      </c>
      <c r="I49">
        <v>48</v>
      </c>
      <c r="J49" t="s">
        <v>834</v>
      </c>
      <c r="K49" t="s">
        <v>849</v>
      </c>
      <c r="O49" t="str">
        <f t="shared" si="0"/>
        <v>EPL</v>
      </c>
    </row>
    <row r="50" spans="1:15">
      <c r="A50">
        <v>5</v>
      </c>
      <c r="B50" t="s">
        <v>834</v>
      </c>
      <c r="C50" t="s">
        <v>847</v>
      </c>
      <c r="D50" t="s">
        <v>848</v>
      </c>
      <c r="E50">
        <v>918936</v>
      </c>
      <c r="F50">
        <v>8</v>
      </c>
      <c r="G50">
        <v>38</v>
      </c>
      <c r="H50">
        <v>13</v>
      </c>
      <c r="I50">
        <v>54</v>
      </c>
      <c r="J50" t="s">
        <v>834</v>
      </c>
      <c r="K50" t="s">
        <v>849</v>
      </c>
      <c r="O50" t="str">
        <f t="shared" si="0"/>
        <v>EPL</v>
      </c>
    </row>
    <row r="51" spans="1:15">
      <c r="A51">
        <v>5</v>
      </c>
      <c r="B51" t="s">
        <v>834</v>
      </c>
      <c r="C51" t="s">
        <v>847</v>
      </c>
      <c r="D51" t="s">
        <v>848</v>
      </c>
      <c r="E51">
        <v>918933</v>
      </c>
      <c r="F51">
        <v>8</v>
      </c>
      <c r="G51">
        <v>91</v>
      </c>
      <c r="H51">
        <v>36</v>
      </c>
      <c r="I51">
        <v>2734</v>
      </c>
      <c r="J51" t="s">
        <v>834</v>
      </c>
      <c r="K51" t="s">
        <v>849</v>
      </c>
      <c r="O51" t="str">
        <f t="shared" si="0"/>
        <v>EPL</v>
      </c>
    </row>
    <row r="52" spans="1:15">
      <c r="A52">
        <v>6</v>
      </c>
      <c r="B52" t="s">
        <v>834</v>
      </c>
      <c r="C52" t="s">
        <v>850</v>
      </c>
      <c r="D52" t="s">
        <v>851</v>
      </c>
      <c r="E52">
        <v>918949</v>
      </c>
      <c r="F52">
        <v>8</v>
      </c>
      <c r="G52">
        <v>20</v>
      </c>
      <c r="H52">
        <v>1</v>
      </c>
      <c r="I52">
        <v>2370</v>
      </c>
      <c r="J52" t="s">
        <v>834</v>
      </c>
      <c r="K52" t="s">
        <v>852</v>
      </c>
      <c r="O52" t="str">
        <f t="shared" si="0"/>
        <v>EPL</v>
      </c>
    </row>
    <row r="53" spans="1:15">
      <c r="A53">
        <v>6</v>
      </c>
      <c r="B53" t="s">
        <v>834</v>
      </c>
      <c r="C53" t="s">
        <v>850</v>
      </c>
      <c r="D53" t="s">
        <v>851</v>
      </c>
      <c r="E53">
        <v>918950</v>
      </c>
      <c r="F53">
        <v>8</v>
      </c>
      <c r="G53">
        <v>110</v>
      </c>
      <c r="H53">
        <v>8</v>
      </c>
      <c r="I53">
        <v>1</v>
      </c>
      <c r="J53" t="s">
        <v>834</v>
      </c>
      <c r="K53" t="s">
        <v>852</v>
      </c>
      <c r="O53" t="str">
        <f t="shared" si="0"/>
        <v>EPL</v>
      </c>
    </row>
    <row r="54" spans="1:15">
      <c r="A54">
        <v>6</v>
      </c>
      <c r="B54" t="s">
        <v>834</v>
      </c>
      <c r="C54" t="s">
        <v>850</v>
      </c>
      <c r="D54" t="s">
        <v>851</v>
      </c>
      <c r="E54">
        <v>918951</v>
      </c>
      <c r="F54">
        <v>8</v>
      </c>
      <c r="G54">
        <v>80</v>
      </c>
      <c r="H54">
        <v>57</v>
      </c>
      <c r="I54">
        <v>2867</v>
      </c>
      <c r="J54" t="s">
        <v>834</v>
      </c>
      <c r="K54" t="s">
        <v>852</v>
      </c>
      <c r="O54" t="str">
        <f t="shared" si="0"/>
        <v>EPL</v>
      </c>
    </row>
    <row r="55" spans="1:15">
      <c r="A55">
        <v>6</v>
      </c>
      <c r="B55" t="s">
        <v>834</v>
      </c>
      <c r="C55" t="s">
        <v>850</v>
      </c>
      <c r="D55" t="s">
        <v>851</v>
      </c>
      <c r="E55">
        <v>918952</v>
      </c>
      <c r="F55">
        <v>8</v>
      </c>
      <c r="G55">
        <v>21</v>
      </c>
      <c r="H55">
        <v>6</v>
      </c>
      <c r="I55">
        <v>11249</v>
      </c>
      <c r="J55" t="s">
        <v>834</v>
      </c>
      <c r="K55" t="s">
        <v>852</v>
      </c>
      <c r="O55" t="str">
        <f t="shared" si="0"/>
        <v>EPL</v>
      </c>
    </row>
    <row r="56" spans="1:15">
      <c r="A56">
        <v>6</v>
      </c>
      <c r="B56" t="s">
        <v>834</v>
      </c>
      <c r="C56" t="s">
        <v>850</v>
      </c>
      <c r="D56" t="s">
        <v>851</v>
      </c>
      <c r="E56">
        <v>918948</v>
      </c>
      <c r="F56">
        <v>8</v>
      </c>
      <c r="G56">
        <v>43</v>
      </c>
      <c r="H56">
        <v>31</v>
      </c>
      <c r="I56">
        <v>2691</v>
      </c>
      <c r="J56" t="s">
        <v>834</v>
      </c>
      <c r="K56" t="s">
        <v>852</v>
      </c>
      <c r="O56" t="str">
        <f t="shared" si="0"/>
        <v>EPL</v>
      </c>
    </row>
    <row r="57" spans="1:15">
      <c r="A57">
        <v>6</v>
      </c>
      <c r="B57" t="s">
        <v>834</v>
      </c>
      <c r="C57" t="s">
        <v>850</v>
      </c>
      <c r="D57" t="s">
        <v>851</v>
      </c>
      <c r="E57">
        <v>918947</v>
      </c>
      <c r="F57">
        <v>8</v>
      </c>
      <c r="G57">
        <v>13</v>
      </c>
      <c r="H57">
        <v>14</v>
      </c>
      <c r="I57">
        <v>2516</v>
      </c>
      <c r="J57" t="s">
        <v>834</v>
      </c>
      <c r="K57" t="s">
        <v>852</v>
      </c>
      <c r="O57" t="str">
        <f t="shared" si="0"/>
        <v>EPL</v>
      </c>
    </row>
    <row r="58" spans="1:15">
      <c r="A58">
        <v>6</v>
      </c>
      <c r="B58" t="s">
        <v>834</v>
      </c>
      <c r="C58" t="s">
        <v>850</v>
      </c>
      <c r="D58" t="s">
        <v>851</v>
      </c>
      <c r="E58">
        <v>918944</v>
      </c>
      <c r="F58">
        <v>8</v>
      </c>
      <c r="G58">
        <v>36</v>
      </c>
      <c r="H58">
        <v>4</v>
      </c>
      <c r="I58">
        <v>7403</v>
      </c>
      <c r="J58" t="s">
        <v>834</v>
      </c>
      <c r="K58" t="s">
        <v>852</v>
      </c>
      <c r="O58" t="str">
        <f t="shared" si="0"/>
        <v>EPL</v>
      </c>
    </row>
    <row r="59" spans="1:15">
      <c r="A59">
        <v>6</v>
      </c>
      <c r="B59" t="s">
        <v>834</v>
      </c>
      <c r="C59" t="s">
        <v>850</v>
      </c>
      <c r="D59" t="s">
        <v>851</v>
      </c>
      <c r="E59">
        <v>918945</v>
      </c>
      <c r="F59">
        <v>8</v>
      </c>
      <c r="G59">
        <v>90</v>
      </c>
      <c r="H59">
        <v>38</v>
      </c>
      <c r="I59">
        <v>88</v>
      </c>
      <c r="J59" t="s">
        <v>834</v>
      </c>
      <c r="K59" t="s">
        <v>852</v>
      </c>
      <c r="O59" t="str">
        <f t="shared" si="0"/>
        <v>EPL</v>
      </c>
    </row>
    <row r="60" spans="1:15">
      <c r="A60">
        <v>6</v>
      </c>
      <c r="B60" t="s">
        <v>834</v>
      </c>
      <c r="C60" t="s">
        <v>850</v>
      </c>
      <c r="D60" t="s">
        <v>851</v>
      </c>
      <c r="E60">
        <v>918946</v>
      </c>
      <c r="F60">
        <v>8</v>
      </c>
      <c r="G60">
        <v>11</v>
      </c>
      <c r="H60">
        <v>91</v>
      </c>
      <c r="I60">
        <v>37</v>
      </c>
      <c r="J60" t="s">
        <v>834</v>
      </c>
      <c r="K60" t="s">
        <v>852</v>
      </c>
      <c r="O60" t="str">
        <f t="shared" si="0"/>
        <v>EPL</v>
      </c>
    </row>
    <row r="61" spans="1:15">
      <c r="A61">
        <v>6</v>
      </c>
      <c r="B61" t="s">
        <v>834</v>
      </c>
      <c r="C61" t="s">
        <v>850</v>
      </c>
      <c r="D61" t="s">
        <v>851</v>
      </c>
      <c r="E61">
        <v>918943</v>
      </c>
      <c r="F61">
        <v>8</v>
      </c>
      <c r="G61">
        <v>3</v>
      </c>
      <c r="H61">
        <v>35</v>
      </c>
      <c r="I61">
        <v>3250</v>
      </c>
      <c r="J61" t="s">
        <v>834</v>
      </c>
      <c r="K61" t="s">
        <v>852</v>
      </c>
      <c r="O61" t="str">
        <f t="shared" si="0"/>
        <v>EPL</v>
      </c>
    </row>
    <row r="62" spans="1:15">
      <c r="A62">
        <v>7</v>
      </c>
      <c r="B62" t="s">
        <v>834</v>
      </c>
      <c r="C62" t="s">
        <v>853</v>
      </c>
      <c r="D62" t="s">
        <v>854</v>
      </c>
      <c r="E62">
        <v>918959</v>
      </c>
      <c r="F62">
        <v>8</v>
      </c>
      <c r="G62">
        <v>4</v>
      </c>
      <c r="H62">
        <v>14</v>
      </c>
      <c r="I62">
        <v>31</v>
      </c>
      <c r="J62" t="s">
        <v>834</v>
      </c>
      <c r="K62" t="s">
        <v>855</v>
      </c>
      <c r="O62" t="str">
        <f t="shared" si="0"/>
        <v>EPL</v>
      </c>
    </row>
    <row r="63" spans="1:15">
      <c r="A63">
        <v>7</v>
      </c>
      <c r="B63" t="s">
        <v>834</v>
      </c>
      <c r="C63" t="s">
        <v>853</v>
      </c>
      <c r="D63" t="s">
        <v>854</v>
      </c>
      <c r="E63">
        <v>918960</v>
      </c>
      <c r="F63">
        <v>8</v>
      </c>
      <c r="G63">
        <v>110</v>
      </c>
      <c r="H63">
        <v>20</v>
      </c>
      <c r="I63">
        <v>1</v>
      </c>
      <c r="J63" t="s">
        <v>834</v>
      </c>
      <c r="K63" t="s">
        <v>855</v>
      </c>
      <c r="O63" t="str">
        <f t="shared" si="0"/>
        <v>EPL</v>
      </c>
    </row>
    <row r="64" spans="1:15">
      <c r="A64">
        <v>7</v>
      </c>
      <c r="B64" t="s">
        <v>834</v>
      </c>
      <c r="C64" t="s">
        <v>853</v>
      </c>
      <c r="D64" t="s">
        <v>854</v>
      </c>
      <c r="E64">
        <v>918961</v>
      </c>
      <c r="F64">
        <v>8</v>
      </c>
      <c r="G64">
        <v>35</v>
      </c>
      <c r="H64">
        <v>57</v>
      </c>
      <c r="I64">
        <v>51</v>
      </c>
      <c r="J64" t="s">
        <v>834</v>
      </c>
      <c r="K64" t="s">
        <v>855</v>
      </c>
      <c r="O64" t="str">
        <f t="shared" si="0"/>
        <v>EPL</v>
      </c>
    </row>
    <row r="65" spans="1:15">
      <c r="A65">
        <v>7</v>
      </c>
      <c r="B65" t="s">
        <v>834</v>
      </c>
      <c r="C65" t="s">
        <v>853</v>
      </c>
      <c r="D65" t="s">
        <v>854</v>
      </c>
      <c r="E65">
        <v>918962</v>
      </c>
      <c r="F65">
        <v>8</v>
      </c>
      <c r="G65">
        <v>21</v>
      </c>
      <c r="H65">
        <v>80</v>
      </c>
      <c r="I65">
        <v>11249</v>
      </c>
      <c r="J65" t="s">
        <v>834</v>
      </c>
      <c r="K65" t="s">
        <v>855</v>
      </c>
      <c r="O65" t="str">
        <f t="shared" si="0"/>
        <v>EPL</v>
      </c>
    </row>
    <row r="66" spans="1:15">
      <c r="A66">
        <v>7</v>
      </c>
      <c r="B66" t="s">
        <v>834</v>
      </c>
      <c r="C66" t="s">
        <v>853</v>
      </c>
      <c r="D66" t="s">
        <v>854</v>
      </c>
      <c r="E66">
        <v>918958</v>
      </c>
      <c r="F66">
        <v>8</v>
      </c>
      <c r="G66">
        <v>1</v>
      </c>
      <c r="H66">
        <v>31</v>
      </c>
      <c r="I66">
        <v>28</v>
      </c>
      <c r="J66" t="s">
        <v>834</v>
      </c>
      <c r="K66" t="s">
        <v>855</v>
      </c>
      <c r="O66" t="str">
        <f t="shared" si="0"/>
        <v>EPL</v>
      </c>
    </row>
    <row r="67" spans="1:15">
      <c r="A67">
        <v>7</v>
      </c>
      <c r="B67" t="s">
        <v>834</v>
      </c>
      <c r="C67" t="s">
        <v>853</v>
      </c>
      <c r="D67" t="s">
        <v>854</v>
      </c>
      <c r="E67">
        <v>918957</v>
      </c>
      <c r="F67">
        <v>8</v>
      </c>
      <c r="G67">
        <v>38</v>
      </c>
      <c r="H67">
        <v>6</v>
      </c>
      <c r="I67">
        <v>54</v>
      </c>
      <c r="J67" t="s">
        <v>834</v>
      </c>
      <c r="K67" t="s">
        <v>855</v>
      </c>
      <c r="O67" t="str">
        <f t="shared" ref="O67:O130" si="1">VLOOKUP(F67,$Q$3:$R$9,2,0)</f>
        <v>EPL</v>
      </c>
    </row>
    <row r="68" spans="1:15">
      <c r="A68">
        <v>7</v>
      </c>
      <c r="B68" t="s">
        <v>834</v>
      </c>
      <c r="C68" t="s">
        <v>853</v>
      </c>
      <c r="D68" t="s">
        <v>854</v>
      </c>
      <c r="E68">
        <v>918954</v>
      </c>
      <c r="F68">
        <v>8</v>
      </c>
      <c r="G68">
        <v>3</v>
      </c>
      <c r="H68">
        <v>36</v>
      </c>
      <c r="I68">
        <v>3250</v>
      </c>
      <c r="J68" t="s">
        <v>834</v>
      </c>
      <c r="K68" t="s">
        <v>855</v>
      </c>
      <c r="O68" t="str">
        <f t="shared" si="1"/>
        <v>EPL</v>
      </c>
    </row>
    <row r="69" spans="1:15">
      <c r="A69">
        <v>7</v>
      </c>
      <c r="B69" t="s">
        <v>834</v>
      </c>
      <c r="C69" t="s">
        <v>853</v>
      </c>
      <c r="D69" t="s">
        <v>854</v>
      </c>
      <c r="E69">
        <v>918955</v>
      </c>
      <c r="F69">
        <v>8</v>
      </c>
      <c r="G69">
        <v>8</v>
      </c>
      <c r="H69">
        <v>43</v>
      </c>
      <c r="I69">
        <v>35</v>
      </c>
      <c r="J69" t="s">
        <v>834</v>
      </c>
      <c r="K69" t="s">
        <v>855</v>
      </c>
      <c r="O69" t="str">
        <f t="shared" si="1"/>
        <v>EPL</v>
      </c>
    </row>
    <row r="70" spans="1:15">
      <c r="A70">
        <v>7</v>
      </c>
      <c r="B70" t="s">
        <v>834</v>
      </c>
      <c r="C70" t="s">
        <v>853</v>
      </c>
      <c r="D70" t="s">
        <v>854</v>
      </c>
      <c r="E70">
        <v>918956</v>
      </c>
      <c r="F70">
        <v>8</v>
      </c>
      <c r="G70">
        <v>11</v>
      </c>
      <c r="H70">
        <v>90</v>
      </c>
      <c r="I70">
        <v>37</v>
      </c>
      <c r="J70" t="s">
        <v>834</v>
      </c>
      <c r="K70" t="s">
        <v>855</v>
      </c>
      <c r="O70" t="str">
        <f t="shared" si="1"/>
        <v>EPL</v>
      </c>
    </row>
    <row r="71" spans="1:15">
      <c r="A71">
        <v>7</v>
      </c>
      <c r="B71" t="s">
        <v>834</v>
      </c>
      <c r="C71" t="s">
        <v>853</v>
      </c>
      <c r="D71" t="s">
        <v>854</v>
      </c>
      <c r="E71">
        <v>918953</v>
      </c>
      <c r="F71">
        <v>8</v>
      </c>
      <c r="G71">
        <v>91</v>
      </c>
      <c r="H71">
        <v>13</v>
      </c>
      <c r="I71">
        <v>2734</v>
      </c>
      <c r="J71" t="s">
        <v>834</v>
      </c>
      <c r="K71" t="s">
        <v>855</v>
      </c>
      <c r="O71" t="str">
        <f t="shared" si="1"/>
        <v>EPL</v>
      </c>
    </row>
    <row r="72" spans="1:15">
      <c r="A72">
        <v>8</v>
      </c>
      <c r="B72" t="s">
        <v>834</v>
      </c>
      <c r="C72" t="s">
        <v>856</v>
      </c>
      <c r="D72" t="s">
        <v>857</v>
      </c>
      <c r="E72">
        <v>918969</v>
      </c>
      <c r="F72">
        <v>8</v>
      </c>
      <c r="G72">
        <v>20</v>
      </c>
      <c r="H72">
        <v>4</v>
      </c>
      <c r="I72">
        <v>2370</v>
      </c>
      <c r="J72" t="s">
        <v>834</v>
      </c>
      <c r="K72" t="s">
        <v>858</v>
      </c>
      <c r="O72" t="str">
        <f t="shared" si="1"/>
        <v>EPL</v>
      </c>
    </row>
    <row r="73" spans="1:15">
      <c r="A73">
        <v>8</v>
      </c>
      <c r="B73" t="s">
        <v>834</v>
      </c>
      <c r="C73" t="s">
        <v>856</v>
      </c>
      <c r="D73" t="s">
        <v>857</v>
      </c>
      <c r="E73">
        <v>918970</v>
      </c>
      <c r="F73">
        <v>8</v>
      </c>
      <c r="G73">
        <v>80</v>
      </c>
      <c r="H73">
        <v>38</v>
      </c>
      <c r="I73">
        <v>2867</v>
      </c>
      <c r="J73" t="s">
        <v>834</v>
      </c>
      <c r="K73" t="s">
        <v>858</v>
      </c>
      <c r="O73" t="str">
        <f t="shared" si="1"/>
        <v>EPL</v>
      </c>
    </row>
    <row r="74" spans="1:15">
      <c r="A74">
        <v>8</v>
      </c>
      <c r="B74" t="s">
        <v>834</v>
      </c>
      <c r="C74" t="s">
        <v>856</v>
      </c>
      <c r="D74" t="s">
        <v>857</v>
      </c>
      <c r="E74">
        <v>918971</v>
      </c>
      <c r="F74">
        <v>8</v>
      </c>
      <c r="G74">
        <v>6</v>
      </c>
      <c r="H74">
        <v>91</v>
      </c>
      <c r="I74">
        <v>5</v>
      </c>
      <c r="J74" t="s">
        <v>834</v>
      </c>
      <c r="K74" t="s">
        <v>858</v>
      </c>
      <c r="O74" t="str">
        <f t="shared" si="1"/>
        <v>EPL</v>
      </c>
    </row>
    <row r="75" spans="1:15">
      <c r="A75">
        <v>8</v>
      </c>
      <c r="B75" t="s">
        <v>834</v>
      </c>
      <c r="C75" t="s">
        <v>856</v>
      </c>
      <c r="D75" t="s">
        <v>857</v>
      </c>
      <c r="E75">
        <v>918972</v>
      </c>
      <c r="F75">
        <v>8</v>
      </c>
      <c r="G75">
        <v>57</v>
      </c>
      <c r="H75">
        <v>3</v>
      </c>
      <c r="I75">
        <v>73</v>
      </c>
      <c r="J75" t="s">
        <v>834</v>
      </c>
      <c r="K75" t="s">
        <v>858</v>
      </c>
      <c r="O75" t="str">
        <f t="shared" si="1"/>
        <v>EPL</v>
      </c>
    </row>
    <row r="76" spans="1:15">
      <c r="A76">
        <v>8</v>
      </c>
      <c r="B76" t="s">
        <v>834</v>
      </c>
      <c r="C76" t="s">
        <v>856</v>
      </c>
      <c r="D76" t="s">
        <v>857</v>
      </c>
      <c r="E76">
        <v>918968</v>
      </c>
      <c r="F76">
        <v>8</v>
      </c>
      <c r="G76">
        <v>43</v>
      </c>
      <c r="H76">
        <v>110</v>
      </c>
      <c r="I76">
        <v>2691</v>
      </c>
      <c r="J76" t="s">
        <v>834</v>
      </c>
      <c r="K76" t="s">
        <v>858</v>
      </c>
      <c r="O76" t="str">
        <f t="shared" si="1"/>
        <v>EPL</v>
      </c>
    </row>
    <row r="77" spans="1:15">
      <c r="A77">
        <v>8</v>
      </c>
      <c r="B77" t="s">
        <v>834</v>
      </c>
      <c r="C77" t="s">
        <v>856</v>
      </c>
      <c r="D77" t="s">
        <v>857</v>
      </c>
      <c r="E77">
        <v>918967</v>
      </c>
      <c r="F77">
        <v>8</v>
      </c>
      <c r="G77">
        <v>14</v>
      </c>
      <c r="H77">
        <v>1</v>
      </c>
      <c r="I77">
        <v>39</v>
      </c>
      <c r="J77" t="s">
        <v>834</v>
      </c>
      <c r="K77" t="s">
        <v>858</v>
      </c>
      <c r="O77" t="str">
        <f t="shared" si="1"/>
        <v>EPL</v>
      </c>
    </row>
    <row r="78" spans="1:15">
      <c r="A78">
        <v>8</v>
      </c>
      <c r="B78" t="s">
        <v>834</v>
      </c>
      <c r="C78" t="s">
        <v>856</v>
      </c>
      <c r="D78" t="s">
        <v>857</v>
      </c>
      <c r="E78">
        <v>918964</v>
      </c>
      <c r="F78">
        <v>8</v>
      </c>
      <c r="G78">
        <v>90</v>
      </c>
      <c r="H78">
        <v>21</v>
      </c>
      <c r="I78">
        <v>88</v>
      </c>
      <c r="J78" t="s">
        <v>834</v>
      </c>
      <c r="K78" t="s">
        <v>858</v>
      </c>
      <c r="O78" t="str">
        <f t="shared" si="1"/>
        <v>EPL</v>
      </c>
    </row>
    <row r="79" spans="1:15">
      <c r="A79">
        <v>8</v>
      </c>
      <c r="B79" t="s">
        <v>834</v>
      </c>
      <c r="C79" t="s">
        <v>856</v>
      </c>
      <c r="D79" t="s">
        <v>857</v>
      </c>
      <c r="E79">
        <v>918965</v>
      </c>
      <c r="F79">
        <v>8</v>
      </c>
      <c r="G79">
        <v>31</v>
      </c>
      <c r="H79">
        <v>8</v>
      </c>
      <c r="I79">
        <v>48</v>
      </c>
      <c r="J79" t="s">
        <v>834</v>
      </c>
      <c r="K79" t="s">
        <v>858</v>
      </c>
      <c r="O79" t="str">
        <f t="shared" si="1"/>
        <v>EPL</v>
      </c>
    </row>
    <row r="80" spans="1:15">
      <c r="A80">
        <v>8</v>
      </c>
      <c r="B80" t="s">
        <v>834</v>
      </c>
      <c r="C80" t="s">
        <v>856</v>
      </c>
      <c r="D80" t="s">
        <v>857</v>
      </c>
      <c r="E80">
        <v>918966</v>
      </c>
      <c r="F80">
        <v>8</v>
      </c>
      <c r="G80">
        <v>13</v>
      </c>
      <c r="H80">
        <v>35</v>
      </c>
      <c r="I80">
        <v>2516</v>
      </c>
      <c r="J80" t="s">
        <v>834</v>
      </c>
      <c r="K80" t="s">
        <v>858</v>
      </c>
      <c r="O80" t="str">
        <f t="shared" si="1"/>
        <v>EPL</v>
      </c>
    </row>
    <row r="81" spans="1:15">
      <c r="A81">
        <v>8</v>
      </c>
      <c r="B81" t="s">
        <v>834</v>
      </c>
      <c r="C81" t="s">
        <v>856</v>
      </c>
      <c r="D81" t="s">
        <v>857</v>
      </c>
      <c r="E81">
        <v>918963</v>
      </c>
      <c r="F81">
        <v>8</v>
      </c>
      <c r="G81">
        <v>36</v>
      </c>
      <c r="H81">
        <v>11</v>
      </c>
      <c r="I81">
        <v>7403</v>
      </c>
      <c r="J81" t="s">
        <v>834</v>
      </c>
      <c r="K81" t="s">
        <v>858</v>
      </c>
      <c r="O81" t="str">
        <f t="shared" si="1"/>
        <v>EPL</v>
      </c>
    </row>
    <row r="82" spans="1:15">
      <c r="A82">
        <v>9</v>
      </c>
      <c r="B82" t="s">
        <v>834</v>
      </c>
      <c r="C82" t="s">
        <v>859</v>
      </c>
      <c r="D82" t="s">
        <v>860</v>
      </c>
      <c r="E82">
        <v>918979</v>
      </c>
      <c r="F82">
        <v>8</v>
      </c>
      <c r="G82">
        <v>110</v>
      </c>
      <c r="H82">
        <v>91</v>
      </c>
      <c r="I82">
        <v>1</v>
      </c>
      <c r="J82" t="s">
        <v>834</v>
      </c>
      <c r="K82" t="s">
        <v>861</v>
      </c>
      <c r="O82" t="str">
        <f t="shared" si="1"/>
        <v>EPL</v>
      </c>
    </row>
    <row r="83" spans="1:15">
      <c r="A83">
        <v>9</v>
      </c>
      <c r="B83" t="s">
        <v>834</v>
      </c>
      <c r="C83" t="s">
        <v>859</v>
      </c>
      <c r="D83" t="s">
        <v>860</v>
      </c>
      <c r="E83">
        <v>918980</v>
      </c>
      <c r="F83">
        <v>8</v>
      </c>
      <c r="G83">
        <v>80</v>
      </c>
      <c r="H83">
        <v>13</v>
      </c>
      <c r="I83">
        <v>2867</v>
      </c>
      <c r="J83" t="s">
        <v>834</v>
      </c>
      <c r="K83" t="s">
        <v>861</v>
      </c>
      <c r="O83" t="str">
        <f t="shared" si="1"/>
        <v>EPL</v>
      </c>
    </row>
    <row r="84" spans="1:15">
      <c r="A84">
        <v>9</v>
      </c>
      <c r="B84" t="s">
        <v>834</v>
      </c>
      <c r="C84" t="s">
        <v>859</v>
      </c>
      <c r="D84" t="s">
        <v>860</v>
      </c>
      <c r="E84">
        <v>918981</v>
      </c>
      <c r="F84">
        <v>8</v>
      </c>
      <c r="G84">
        <v>6</v>
      </c>
      <c r="H84">
        <v>14</v>
      </c>
      <c r="I84">
        <v>5</v>
      </c>
      <c r="J84" t="s">
        <v>834</v>
      </c>
      <c r="K84" t="s">
        <v>861</v>
      </c>
      <c r="O84" t="str">
        <f t="shared" si="1"/>
        <v>EPL</v>
      </c>
    </row>
    <row r="85" spans="1:15">
      <c r="A85">
        <v>9</v>
      </c>
      <c r="B85" t="s">
        <v>834</v>
      </c>
      <c r="C85" t="s">
        <v>859</v>
      </c>
      <c r="D85" t="s">
        <v>860</v>
      </c>
      <c r="E85">
        <v>918982</v>
      </c>
      <c r="F85">
        <v>8</v>
      </c>
      <c r="G85">
        <v>21</v>
      </c>
      <c r="H85">
        <v>36</v>
      </c>
      <c r="I85">
        <v>11249</v>
      </c>
      <c r="J85" t="s">
        <v>834</v>
      </c>
      <c r="K85" t="s">
        <v>861</v>
      </c>
      <c r="O85" t="str">
        <f t="shared" si="1"/>
        <v>EPL</v>
      </c>
    </row>
    <row r="86" spans="1:15">
      <c r="A86">
        <v>9</v>
      </c>
      <c r="B86" t="s">
        <v>834</v>
      </c>
      <c r="C86" t="s">
        <v>859</v>
      </c>
      <c r="D86" t="s">
        <v>860</v>
      </c>
      <c r="E86">
        <v>918978</v>
      </c>
      <c r="F86">
        <v>8</v>
      </c>
      <c r="G86">
        <v>20</v>
      </c>
      <c r="H86">
        <v>35</v>
      </c>
      <c r="I86">
        <v>2370</v>
      </c>
      <c r="J86" t="s">
        <v>834</v>
      </c>
      <c r="K86" t="s">
        <v>861</v>
      </c>
      <c r="O86" t="str">
        <f t="shared" si="1"/>
        <v>EPL</v>
      </c>
    </row>
    <row r="87" spans="1:15">
      <c r="A87">
        <v>9</v>
      </c>
      <c r="B87" t="s">
        <v>834</v>
      </c>
      <c r="C87" t="s">
        <v>859</v>
      </c>
      <c r="D87" t="s">
        <v>860</v>
      </c>
      <c r="E87">
        <v>918977</v>
      </c>
      <c r="F87">
        <v>8</v>
      </c>
      <c r="G87">
        <v>4</v>
      </c>
      <c r="H87">
        <v>31</v>
      </c>
      <c r="I87">
        <v>31</v>
      </c>
      <c r="J87" t="s">
        <v>834</v>
      </c>
      <c r="K87" t="s">
        <v>861</v>
      </c>
      <c r="O87" t="str">
        <f t="shared" si="1"/>
        <v>EPL</v>
      </c>
    </row>
    <row r="88" spans="1:15">
      <c r="A88">
        <v>9</v>
      </c>
      <c r="B88" t="s">
        <v>834</v>
      </c>
      <c r="C88" t="s">
        <v>859</v>
      </c>
      <c r="D88" t="s">
        <v>860</v>
      </c>
      <c r="E88">
        <v>918974</v>
      </c>
      <c r="F88">
        <v>8</v>
      </c>
      <c r="G88">
        <v>11</v>
      </c>
      <c r="H88">
        <v>3</v>
      </c>
      <c r="I88">
        <v>37</v>
      </c>
      <c r="J88" t="s">
        <v>834</v>
      </c>
      <c r="K88" t="s">
        <v>861</v>
      </c>
      <c r="O88" t="str">
        <f t="shared" si="1"/>
        <v>EPL</v>
      </c>
    </row>
    <row r="89" spans="1:15">
      <c r="A89">
        <v>9</v>
      </c>
      <c r="B89" t="s">
        <v>834</v>
      </c>
      <c r="C89" t="s">
        <v>859</v>
      </c>
      <c r="D89" t="s">
        <v>860</v>
      </c>
      <c r="E89">
        <v>918975</v>
      </c>
      <c r="F89">
        <v>8</v>
      </c>
      <c r="G89">
        <v>38</v>
      </c>
      <c r="H89">
        <v>1</v>
      </c>
      <c r="I89">
        <v>54</v>
      </c>
      <c r="J89" t="s">
        <v>834</v>
      </c>
      <c r="K89" t="s">
        <v>861</v>
      </c>
      <c r="O89" t="str">
        <f t="shared" si="1"/>
        <v>EPL</v>
      </c>
    </row>
    <row r="90" spans="1:15">
      <c r="A90">
        <v>9</v>
      </c>
      <c r="B90" t="s">
        <v>834</v>
      </c>
      <c r="C90" t="s">
        <v>859</v>
      </c>
      <c r="D90" t="s">
        <v>860</v>
      </c>
      <c r="E90">
        <v>918976</v>
      </c>
      <c r="F90">
        <v>8</v>
      </c>
      <c r="G90">
        <v>43</v>
      </c>
      <c r="H90">
        <v>90</v>
      </c>
      <c r="I90">
        <v>2691</v>
      </c>
      <c r="J90" t="s">
        <v>834</v>
      </c>
      <c r="K90" t="s">
        <v>861</v>
      </c>
      <c r="O90" t="str">
        <f t="shared" si="1"/>
        <v>EPL</v>
      </c>
    </row>
    <row r="91" spans="1:15">
      <c r="A91">
        <v>9</v>
      </c>
      <c r="B91" t="s">
        <v>834</v>
      </c>
      <c r="C91" t="s">
        <v>859</v>
      </c>
      <c r="D91" t="s">
        <v>860</v>
      </c>
      <c r="E91">
        <v>918973</v>
      </c>
      <c r="F91">
        <v>8</v>
      </c>
      <c r="G91">
        <v>8</v>
      </c>
      <c r="H91">
        <v>57</v>
      </c>
      <c r="I91">
        <v>35</v>
      </c>
      <c r="J91" t="s">
        <v>834</v>
      </c>
      <c r="K91" t="s">
        <v>861</v>
      </c>
      <c r="O91" t="str">
        <f t="shared" si="1"/>
        <v>EPL</v>
      </c>
    </row>
    <row r="92" spans="1:15">
      <c r="A92">
        <v>10</v>
      </c>
      <c r="B92" t="s">
        <v>834</v>
      </c>
      <c r="C92" t="s">
        <v>862</v>
      </c>
      <c r="D92" t="s">
        <v>863</v>
      </c>
      <c r="E92">
        <v>918989</v>
      </c>
      <c r="F92">
        <v>8</v>
      </c>
      <c r="G92">
        <v>14</v>
      </c>
      <c r="H92">
        <v>38</v>
      </c>
      <c r="I92">
        <v>39</v>
      </c>
      <c r="J92" t="s">
        <v>834</v>
      </c>
      <c r="K92" t="s">
        <v>864</v>
      </c>
      <c r="O92" t="str">
        <f t="shared" si="1"/>
        <v>EPL</v>
      </c>
    </row>
    <row r="93" spans="1:15">
      <c r="A93">
        <v>10</v>
      </c>
      <c r="B93" t="s">
        <v>834</v>
      </c>
      <c r="C93" t="s">
        <v>862</v>
      </c>
      <c r="D93" t="s">
        <v>863</v>
      </c>
      <c r="E93">
        <v>918990</v>
      </c>
      <c r="F93">
        <v>8</v>
      </c>
      <c r="G93">
        <v>1</v>
      </c>
      <c r="H93">
        <v>6</v>
      </c>
      <c r="I93">
        <v>28</v>
      </c>
      <c r="J93" t="s">
        <v>834</v>
      </c>
      <c r="K93" t="s">
        <v>864</v>
      </c>
      <c r="O93" t="str">
        <f t="shared" si="1"/>
        <v>EPL</v>
      </c>
    </row>
    <row r="94" spans="1:15">
      <c r="A94">
        <v>10</v>
      </c>
      <c r="B94" t="s">
        <v>834</v>
      </c>
      <c r="C94" t="s">
        <v>862</v>
      </c>
      <c r="D94" t="s">
        <v>863</v>
      </c>
      <c r="E94">
        <v>918991</v>
      </c>
      <c r="F94">
        <v>8</v>
      </c>
      <c r="G94">
        <v>57</v>
      </c>
      <c r="H94">
        <v>110</v>
      </c>
      <c r="I94">
        <v>73</v>
      </c>
      <c r="J94" t="s">
        <v>834</v>
      </c>
      <c r="K94" t="s">
        <v>864</v>
      </c>
      <c r="O94" t="str">
        <f t="shared" si="1"/>
        <v>EPL</v>
      </c>
    </row>
    <row r="95" spans="1:15">
      <c r="A95">
        <v>10</v>
      </c>
      <c r="B95" t="s">
        <v>834</v>
      </c>
      <c r="C95" t="s">
        <v>862</v>
      </c>
      <c r="D95" t="s">
        <v>863</v>
      </c>
      <c r="E95">
        <v>918992</v>
      </c>
      <c r="F95">
        <v>8</v>
      </c>
      <c r="G95">
        <v>35</v>
      </c>
      <c r="H95">
        <v>43</v>
      </c>
      <c r="I95">
        <v>51</v>
      </c>
      <c r="J95" t="s">
        <v>834</v>
      </c>
      <c r="K95" t="s">
        <v>864</v>
      </c>
      <c r="O95" t="str">
        <f t="shared" si="1"/>
        <v>EPL</v>
      </c>
    </row>
    <row r="96" spans="1:15">
      <c r="A96">
        <v>10</v>
      </c>
      <c r="B96" t="s">
        <v>834</v>
      </c>
      <c r="C96" t="s">
        <v>862</v>
      </c>
      <c r="D96" t="s">
        <v>863</v>
      </c>
      <c r="E96">
        <v>918988</v>
      </c>
      <c r="F96">
        <v>8</v>
      </c>
      <c r="G96">
        <v>13</v>
      </c>
      <c r="H96">
        <v>11</v>
      </c>
      <c r="I96">
        <v>2516</v>
      </c>
      <c r="J96" t="s">
        <v>834</v>
      </c>
      <c r="K96" t="s">
        <v>864</v>
      </c>
      <c r="O96" t="str">
        <f t="shared" si="1"/>
        <v>EPL</v>
      </c>
    </row>
    <row r="97" spans="1:15">
      <c r="A97">
        <v>10</v>
      </c>
      <c r="B97" t="s">
        <v>834</v>
      </c>
      <c r="C97" t="s">
        <v>862</v>
      </c>
      <c r="D97" t="s">
        <v>863</v>
      </c>
      <c r="E97">
        <v>918987</v>
      </c>
      <c r="F97">
        <v>8</v>
      </c>
      <c r="G97">
        <v>31</v>
      </c>
      <c r="H97">
        <v>21</v>
      </c>
      <c r="I97">
        <v>48</v>
      </c>
      <c r="J97" t="s">
        <v>834</v>
      </c>
      <c r="K97" t="s">
        <v>864</v>
      </c>
      <c r="O97" t="str">
        <f t="shared" si="1"/>
        <v>EPL</v>
      </c>
    </row>
    <row r="98" spans="1:15">
      <c r="A98">
        <v>10</v>
      </c>
      <c r="B98" t="s">
        <v>834</v>
      </c>
      <c r="C98" t="s">
        <v>862</v>
      </c>
      <c r="D98" t="s">
        <v>863</v>
      </c>
      <c r="E98">
        <v>918984</v>
      </c>
      <c r="F98">
        <v>8</v>
      </c>
      <c r="G98">
        <v>3</v>
      </c>
      <c r="H98">
        <v>80</v>
      </c>
      <c r="I98">
        <v>3250</v>
      </c>
      <c r="J98" t="s">
        <v>834</v>
      </c>
      <c r="K98" t="s">
        <v>864</v>
      </c>
      <c r="O98" t="str">
        <f t="shared" si="1"/>
        <v>EPL</v>
      </c>
    </row>
    <row r="99" spans="1:15">
      <c r="A99">
        <v>10</v>
      </c>
      <c r="B99" t="s">
        <v>834</v>
      </c>
      <c r="C99" t="s">
        <v>862</v>
      </c>
      <c r="D99" t="s">
        <v>863</v>
      </c>
      <c r="E99">
        <v>918985</v>
      </c>
      <c r="F99">
        <v>8</v>
      </c>
      <c r="G99">
        <v>36</v>
      </c>
      <c r="H99">
        <v>20</v>
      </c>
      <c r="I99">
        <v>7403</v>
      </c>
      <c r="J99" t="s">
        <v>834</v>
      </c>
      <c r="K99" t="s">
        <v>864</v>
      </c>
      <c r="O99" t="str">
        <f t="shared" si="1"/>
        <v>EPL</v>
      </c>
    </row>
    <row r="100" spans="1:15">
      <c r="A100">
        <v>10</v>
      </c>
      <c r="B100" t="s">
        <v>834</v>
      </c>
      <c r="C100" t="s">
        <v>862</v>
      </c>
      <c r="D100" t="s">
        <v>863</v>
      </c>
      <c r="E100">
        <v>918986</v>
      </c>
      <c r="F100">
        <v>8</v>
      </c>
      <c r="G100">
        <v>90</v>
      </c>
      <c r="H100">
        <v>4</v>
      </c>
      <c r="I100">
        <v>88</v>
      </c>
      <c r="J100" t="s">
        <v>834</v>
      </c>
      <c r="K100" t="s">
        <v>864</v>
      </c>
      <c r="O100" t="str">
        <f t="shared" si="1"/>
        <v>EPL</v>
      </c>
    </row>
    <row r="101" spans="1:15">
      <c r="A101">
        <v>10</v>
      </c>
      <c r="B101" t="s">
        <v>834</v>
      </c>
      <c r="C101" t="s">
        <v>862</v>
      </c>
      <c r="D101" t="s">
        <v>863</v>
      </c>
      <c r="E101">
        <v>918983</v>
      </c>
      <c r="F101">
        <v>8</v>
      </c>
      <c r="G101">
        <v>91</v>
      </c>
      <c r="H101">
        <v>8</v>
      </c>
      <c r="I101">
        <v>2734</v>
      </c>
      <c r="J101" t="s">
        <v>834</v>
      </c>
      <c r="K101" t="s">
        <v>864</v>
      </c>
      <c r="O101" t="str">
        <f t="shared" si="1"/>
        <v>EPL</v>
      </c>
    </row>
    <row r="102" spans="1:15">
      <c r="A102">
        <v>11</v>
      </c>
      <c r="B102" t="s">
        <v>834</v>
      </c>
      <c r="C102" t="s">
        <v>865</v>
      </c>
      <c r="D102" t="s">
        <v>866</v>
      </c>
      <c r="E102">
        <v>918999</v>
      </c>
      <c r="F102">
        <v>8</v>
      </c>
      <c r="G102">
        <v>110</v>
      </c>
      <c r="H102">
        <v>13</v>
      </c>
      <c r="I102">
        <v>1</v>
      </c>
      <c r="J102" t="s">
        <v>834</v>
      </c>
      <c r="K102" t="s">
        <v>867</v>
      </c>
      <c r="O102" t="str">
        <f t="shared" si="1"/>
        <v>EPL</v>
      </c>
    </row>
    <row r="103" spans="1:15">
      <c r="A103">
        <v>11</v>
      </c>
      <c r="B103" t="s">
        <v>834</v>
      </c>
      <c r="C103" t="s">
        <v>865</v>
      </c>
      <c r="D103" t="s">
        <v>866</v>
      </c>
      <c r="E103">
        <v>919000</v>
      </c>
      <c r="F103">
        <v>8</v>
      </c>
      <c r="G103">
        <v>80</v>
      </c>
      <c r="H103">
        <v>36</v>
      </c>
      <c r="I103">
        <v>2867</v>
      </c>
      <c r="J103" t="s">
        <v>834</v>
      </c>
      <c r="K103" t="s">
        <v>867</v>
      </c>
      <c r="O103" t="str">
        <f t="shared" si="1"/>
        <v>EPL</v>
      </c>
    </row>
    <row r="104" spans="1:15">
      <c r="A104">
        <v>11</v>
      </c>
      <c r="B104" t="s">
        <v>834</v>
      </c>
      <c r="C104" t="s">
        <v>865</v>
      </c>
      <c r="D104" t="s">
        <v>866</v>
      </c>
      <c r="E104">
        <v>919001</v>
      </c>
      <c r="F104">
        <v>8</v>
      </c>
      <c r="G104">
        <v>6</v>
      </c>
      <c r="H104">
        <v>31</v>
      </c>
      <c r="I104">
        <v>5</v>
      </c>
      <c r="J104" t="s">
        <v>834</v>
      </c>
      <c r="K104" t="s">
        <v>867</v>
      </c>
      <c r="O104" t="str">
        <f t="shared" si="1"/>
        <v>EPL</v>
      </c>
    </row>
    <row r="105" spans="1:15">
      <c r="A105">
        <v>11</v>
      </c>
      <c r="B105" t="s">
        <v>834</v>
      </c>
      <c r="C105" t="s">
        <v>865</v>
      </c>
      <c r="D105" t="s">
        <v>866</v>
      </c>
      <c r="E105">
        <v>919002</v>
      </c>
      <c r="F105">
        <v>8</v>
      </c>
      <c r="G105">
        <v>21</v>
      </c>
      <c r="H105">
        <v>14</v>
      </c>
      <c r="I105">
        <v>11249</v>
      </c>
      <c r="J105" t="s">
        <v>834</v>
      </c>
      <c r="K105" t="s">
        <v>867</v>
      </c>
      <c r="O105" t="str">
        <f t="shared" si="1"/>
        <v>EPL</v>
      </c>
    </row>
    <row r="106" spans="1:15">
      <c r="A106">
        <v>11</v>
      </c>
      <c r="B106" t="s">
        <v>834</v>
      </c>
      <c r="C106" t="s">
        <v>865</v>
      </c>
      <c r="D106" t="s">
        <v>866</v>
      </c>
      <c r="E106">
        <v>918998</v>
      </c>
      <c r="F106">
        <v>8</v>
      </c>
      <c r="G106">
        <v>20</v>
      </c>
      <c r="H106">
        <v>90</v>
      </c>
      <c r="I106">
        <v>2370</v>
      </c>
      <c r="J106" t="s">
        <v>834</v>
      </c>
      <c r="K106" t="s">
        <v>867</v>
      </c>
      <c r="O106" t="str">
        <f t="shared" si="1"/>
        <v>EPL</v>
      </c>
    </row>
    <row r="107" spans="1:15">
      <c r="A107">
        <v>11</v>
      </c>
      <c r="B107" t="s">
        <v>834</v>
      </c>
      <c r="C107" t="s">
        <v>865</v>
      </c>
      <c r="D107" t="s">
        <v>866</v>
      </c>
      <c r="E107">
        <v>918997</v>
      </c>
      <c r="F107">
        <v>8</v>
      </c>
      <c r="G107">
        <v>4</v>
      </c>
      <c r="H107">
        <v>91</v>
      </c>
      <c r="I107">
        <v>31</v>
      </c>
      <c r="J107" t="s">
        <v>834</v>
      </c>
      <c r="K107" t="s">
        <v>867</v>
      </c>
      <c r="O107" t="str">
        <f t="shared" si="1"/>
        <v>EPL</v>
      </c>
    </row>
    <row r="108" spans="1:15">
      <c r="A108">
        <v>11</v>
      </c>
      <c r="B108" t="s">
        <v>834</v>
      </c>
      <c r="C108" t="s">
        <v>865</v>
      </c>
      <c r="D108" t="s">
        <v>866</v>
      </c>
      <c r="E108">
        <v>918994</v>
      </c>
      <c r="F108">
        <v>8</v>
      </c>
      <c r="G108">
        <v>11</v>
      </c>
      <c r="H108">
        <v>57</v>
      </c>
      <c r="I108">
        <v>37</v>
      </c>
      <c r="J108" t="s">
        <v>834</v>
      </c>
      <c r="K108" t="s">
        <v>867</v>
      </c>
      <c r="O108" t="str">
        <f t="shared" si="1"/>
        <v>EPL</v>
      </c>
    </row>
    <row r="109" spans="1:15">
      <c r="A109">
        <v>11</v>
      </c>
      <c r="B109" t="s">
        <v>834</v>
      </c>
      <c r="C109" t="s">
        <v>865</v>
      </c>
      <c r="D109" t="s">
        <v>866</v>
      </c>
      <c r="E109">
        <v>918995</v>
      </c>
      <c r="F109">
        <v>8</v>
      </c>
      <c r="G109">
        <v>38</v>
      </c>
      <c r="H109">
        <v>35</v>
      </c>
      <c r="I109">
        <v>54</v>
      </c>
      <c r="J109" t="s">
        <v>834</v>
      </c>
      <c r="K109" t="s">
        <v>867</v>
      </c>
      <c r="O109" t="str">
        <f t="shared" si="1"/>
        <v>EPL</v>
      </c>
    </row>
    <row r="110" spans="1:15">
      <c r="A110">
        <v>11</v>
      </c>
      <c r="B110" t="s">
        <v>834</v>
      </c>
      <c r="C110" t="s">
        <v>865</v>
      </c>
      <c r="D110" t="s">
        <v>866</v>
      </c>
      <c r="E110">
        <v>918996</v>
      </c>
      <c r="F110">
        <v>8</v>
      </c>
      <c r="G110">
        <v>43</v>
      </c>
      <c r="H110">
        <v>3</v>
      </c>
      <c r="I110">
        <v>2691</v>
      </c>
      <c r="J110" t="s">
        <v>834</v>
      </c>
      <c r="K110" t="s">
        <v>867</v>
      </c>
      <c r="O110" t="str">
        <f t="shared" si="1"/>
        <v>EPL</v>
      </c>
    </row>
    <row r="111" spans="1:15">
      <c r="A111">
        <v>11</v>
      </c>
      <c r="B111" t="s">
        <v>834</v>
      </c>
      <c r="C111" t="s">
        <v>865</v>
      </c>
      <c r="D111" t="s">
        <v>866</v>
      </c>
      <c r="E111">
        <v>918993</v>
      </c>
      <c r="F111">
        <v>8</v>
      </c>
      <c r="G111">
        <v>8</v>
      </c>
      <c r="H111">
        <v>1</v>
      </c>
      <c r="I111">
        <v>35</v>
      </c>
      <c r="J111" t="s">
        <v>834</v>
      </c>
      <c r="K111" t="s">
        <v>867</v>
      </c>
      <c r="O111" t="str">
        <f t="shared" si="1"/>
        <v>EPL</v>
      </c>
    </row>
    <row r="112" spans="1:15">
      <c r="A112">
        <v>12</v>
      </c>
      <c r="B112" t="s">
        <v>834</v>
      </c>
      <c r="C112" t="s">
        <v>868</v>
      </c>
      <c r="D112" t="s">
        <v>869</v>
      </c>
      <c r="E112">
        <v>919009</v>
      </c>
      <c r="F112">
        <v>8</v>
      </c>
      <c r="G112">
        <v>14</v>
      </c>
      <c r="H112">
        <v>20</v>
      </c>
      <c r="I112">
        <v>39</v>
      </c>
      <c r="J112" t="s">
        <v>834</v>
      </c>
      <c r="K112" t="s">
        <v>870</v>
      </c>
      <c r="O112" t="str">
        <f t="shared" si="1"/>
        <v>EPL</v>
      </c>
    </row>
    <row r="113" spans="1:15">
      <c r="A113">
        <v>12</v>
      </c>
      <c r="B113" t="s">
        <v>834</v>
      </c>
      <c r="C113" t="s">
        <v>868</v>
      </c>
      <c r="D113" t="s">
        <v>869</v>
      </c>
      <c r="E113">
        <v>919010</v>
      </c>
      <c r="F113">
        <v>8</v>
      </c>
      <c r="G113">
        <v>1</v>
      </c>
      <c r="H113">
        <v>4</v>
      </c>
      <c r="I113">
        <v>28</v>
      </c>
      <c r="J113" t="s">
        <v>834</v>
      </c>
      <c r="K113" t="s">
        <v>870</v>
      </c>
      <c r="O113" t="str">
        <f t="shared" si="1"/>
        <v>EPL</v>
      </c>
    </row>
    <row r="114" spans="1:15">
      <c r="A114">
        <v>12</v>
      </c>
      <c r="B114" t="s">
        <v>834</v>
      </c>
      <c r="C114" t="s">
        <v>868</v>
      </c>
      <c r="D114" t="s">
        <v>869</v>
      </c>
      <c r="E114">
        <v>919011</v>
      </c>
      <c r="F114">
        <v>8</v>
      </c>
      <c r="G114">
        <v>57</v>
      </c>
      <c r="H114">
        <v>21</v>
      </c>
      <c r="I114">
        <v>73</v>
      </c>
      <c r="J114" t="s">
        <v>834</v>
      </c>
      <c r="K114" t="s">
        <v>870</v>
      </c>
      <c r="O114" t="str">
        <f t="shared" si="1"/>
        <v>EPL</v>
      </c>
    </row>
    <row r="115" spans="1:15">
      <c r="A115">
        <v>12</v>
      </c>
      <c r="B115" t="s">
        <v>834</v>
      </c>
      <c r="C115" t="s">
        <v>868</v>
      </c>
      <c r="D115" t="s">
        <v>869</v>
      </c>
      <c r="E115">
        <v>919012</v>
      </c>
      <c r="F115">
        <v>8</v>
      </c>
      <c r="G115">
        <v>35</v>
      </c>
      <c r="H115">
        <v>8</v>
      </c>
      <c r="I115">
        <v>51</v>
      </c>
      <c r="J115" t="s">
        <v>834</v>
      </c>
      <c r="K115" t="s">
        <v>870</v>
      </c>
      <c r="O115" t="str">
        <f t="shared" si="1"/>
        <v>EPL</v>
      </c>
    </row>
    <row r="116" spans="1:15">
      <c r="A116">
        <v>12</v>
      </c>
      <c r="B116" t="s">
        <v>834</v>
      </c>
      <c r="C116" t="s">
        <v>868</v>
      </c>
      <c r="D116" t="s">
        <v>869</v>
      </c>
      <c r="E116">
        <v>919008</v>
      </c>
      <c r="F116">
        <v>8</v>
      </c>
      <c r="G116">
        <v>13</v>
      </c>
      <c r="H116">
        <v>43</v>
      </c>
      <c r="I116">
        <v>2516</v>
      </c>
      <c r="J116" t="s">
        <v>834</v>
      </c>
      <c r="K116" t="s">
        <v>870</v>
      </c>
      <c r="O116" t="str">
        <f t="shared" si="1"/>
        <v>EPL</v>
      </c>
    </row>
    <row r="117" spans="1:15">
      <c r="A117">
        <v>12</v>
      </c>
      <c r="B117" t="s">
        <v>834</v>
      </c>
      <c r="C117" t="s">
        <v>868</v>
      </c>
      <c r="D117" t="s">
        <v>869</v>
      </c>
      <c r="E117">
        <v>919007</v>
      </c>
      <c r="F117">
        <v>8</v>
      </c>
      <c r="G117">
        <v>31</v>
      </c>
      <c r="H117">
        <v>11</v>
      </c>
      <c r="I117">
        <v>48</v>
      </c>
      <c r="J117" t="s">
        <v>834</v>
      </c>
      <c r="K117" t="s">
        <v>870</v>
      </c>
      <c r="O117" t="str">
        <f t="shared" si="1"/>
        <v>EPL</v>
      </c>
    </row>
    <row r="118" spans="1:15">
      <c r="A118">
        <v>12</v>
      </c>
      <c r="B118" t="s">
        <v>834</v>
      </c>
      <c r="C118" t="s">
        <v>868</v>
      </c>
      <c r="D118" t="s">
        <v>869</v>
      </c>
      <c r="E118">
        <v>919004</v>
      </c>
      <c r="F118">
        <v>8</v>
      </c>
      <c r="G118">
        <v>3</v>
      </c>
      <c r="H118">
        <v>6</v>
      </c>
      <c r="I118">
        <v>3250</v>
      </c>
      <c r="J118" t="s">
        <v>834</v>
      </c>
      <c r="K118" t="s">
        <v>870</v>
      </c>
      <c r="O118" t="str">
        <f t="shared" si="1"/>
        <v>EPL</v>
      </c>
    </row>
    <row r="119" spans="1:15">
      <c r="A119">
        <v>12</v>
      </c>
      <c r="B119" t="s">
        <v>834</v>
      </c>
      <c r="C119" t="s">
        <v>868</v>
      </c>
      <c r="D119" t="s">
        <v>869</v>
      </c>
      <c r="E119">
        <v>919005</v>
      </c>
      <c r="F119">
        <v>8</v>
      </c>
      <c r="G119">
        <v>36</v>
      </c>
      <c r="H119">
        <v>110</v>
      </c>
      <c r="I119">
        <v>7403</v>
      </c>
      <c r="J119" t="s">
        <v>834</v>
      </c>
      <c r="K119" t="s">
        <v>870</v>
      </c>
      <c r="O119" t="str">
        <f t="shared" si="1"/>
        <v>EPL</v>
      </c>
    </row>
    <row r="120" spans="1:15">
      <c r="A120">
        <v>12</v>
      </c>
      <c r="B120" t="s">
        <v>834</v>
      </c>
      <c r="C120" t="s">
        <v>868</v>
      </c>
      <c r="D120" t="s">
        <v>869</v>
      </c>
      <c r="E120">
        <v>919006</v>
      </c>
      <c r="F120">
        <v>8</v>
      </c>
      <c r="G120">
        <v>90</v>
      </c>
      <c r="H120">
        <v>80</v>
      </c>
      <c r="I120">
        <v>88</v>
      </c>
      <c r="J120" t="s">
        <v>834</v>
      </c>
      <c r="K120" t="s">
        <v>870</v>
      </c>
      <c r="O120" t="str">
        <f t="shared" si="1"/>
        <v>EPL</v>
      </c>
    </row>
    <row r="121" spans="1:15">
      <c r="A121">
        <v>12</v>
      </c>
      <c r="B121" t="s">
        <v>834</v>
      </c>
      <c r="C121" t="s">
        <v>868</v>
      </c>
      <c r="D121" t="s">
        <v>869</v>
      </c>
      <c r="E121">
        <v>919003</v>
      </c>
      <c r="F121">
        <v>8</v>
      </c>
      <c r="G121">
        <v>91</v>
      </c>
      <c r="H121">
        <v>38</v>
      </c>
      <c r="I121">
        <v>2734</v>
      </c>
      <c r="J121" t="s">
        <v>834</v>
      </c>
      <c r="K121" t="s">
        <v>870</v>
      </c>
      <c r="O121" t="str">
        <f t="shared" si="1"/>
        <v>EPL</v>
      </c>
    </row>
    <row r="122" spans="1:15">
      <c r="A122">
        <v>13</v>
      </c>
      <c r="B122" t="s">
        <v>834</v>
      </c>
      <c r="C122" t="s">
        <v>871</v>
      </c>
      <c r="D122" t="s">
        <v>872</v>
      </c>
      <c r="E122">
        <v>919019</v>
      </c>
      <c r="F122">
        <v>8</v>
      </c>
      <c r="G122">
        <v>20</v>
      </c>
      <c r="H122">
        <v>11</v>
      </c>
      <c r="I122">
        <v>2370</v>
      </c>
      <c r="J122" t="s">
        <v>834</v>
      </c>
      <c r="K122" t="s">
        <v>873</v>
      </c>
      <c r="O122" t="str">
        <f t="shared" si="1"/>
        <v>EPL</v>
      </c>
    </row>
    <row r="123" spans="1:15">
      <c r="A123">
        <v>13</v>
      </c>
      <c r="B123" t="s">
        <v>834</v>
      </c>
      <c r="C123" t="s">
        <v>871</v>
      </c>
      <c r="D123" t="s">
        <v>872</v>
      </c>
      <c r="E123">
        <v>919020</v>
      </c>
      <c r="F123">
        <v>8</v>
      </c>
      <c r="G123">
        <v>80</v>
      </c>
      <c r="H123">
        <v>91</v>
      </c>
      <c r="I123">
        <v>2867</v>
      </c>
      <c r="J123" t="s">
        <v>834</v>
      </c>
      <c r="K123" t="s">
        <v>873</v>
      </c>
      <c r="O123" t="str">
        <f t="shared" si="1"/>
        <v>EPL</v>
      </c>
    </row>
    <row r="124" spans="1:15">
      <c r="A124">
        <v>13</v>
      </c>
      <c r="B124" t="s">
        <v>834</v>
      </c>
      <c r="C124" t="s">
        <v>871</v>
      </c>
      <c r="D124" t="s">
        <v>872</v>
      </c>
      <c r="E124">
        <v>919021</v>
      </c>
      <c r="F124">
        <v>8</v>
      </c>
      <c r="G124">
        <v>6</v>
      </c>
      <c r="H124">
        <v>35</v>
      </c>
      <c r="I124">
        <v>5</v>
      </c>
      <c r="J124" t="s">
        <v>834</v>
      </c>
      <c r="K124" t="s">
        <v>873</v>
      </c>
      <c r="O124" t="str">
        <f t="shared" si="1"/>
        <v>EPL</v>
      </c>
    </row>
    <row r="125" spans="1:15">
      <c r="A125">
        <v>13</v>
      </c>
      <c r="B125" t="s">
        <v>834</v>
      </c>
      <c r="C125" t="s">
        <v>871</v>
      </c>
      <c r="D125" t="s">
        <v>872</v>
      </c>
      <c r="E125">
        <v>919013</v>
      </c>
      <c r="F125">
        <v>8</v>
      </c>
      <c r="G125">
        <v>90</v>
      </c>
      <c r="H125">
        <v>3</v>
      </c>
      <c r="I125">
        <v>88</v>
      </c>
      <c r="J125" t="s">
        <v>834</v>
      </c>
      <c r="K125" t="s">
        <v>873</v>
      </c>
      <c r="O125" t="str">
        <f t="shared" si="1"/>
        <v>EPL</v>
      </c>
    </row>
    <row r="126" spans="1:15">
      <c r="A126">
        <v>13</v>
      </c>
      <c r="B126" t="s">
        <v>834</v>
      </c>
      <c r="C126" t="s">
        <v>871</v>
      </c>
      <c r="D126" t="s">
        <v>872</v>
      </c>
      <c r="E126">
        <v>919018</v>
      </c>
      <c r="F126">
        <v>8</v>
      </c>
      <c r="G126">
        <v>4</v>
      </c>
      <c r="H126">
        <v>57</v>
      </c>
      <c r="I126">
        <v>31</v>
      </c>
      <c r="J126" t="s">
        <v>834</v>
      </c>
      <c r="K126" t="s">
        <v>873</v>
      </c>
      <c r="O126" t="str">
        <f t="shared" si="1"/>
        <v>EPL</v>
      </c>
    </row>
    <row r="127" spans="1:15">
      <c r="A127">
        <v>13</v>
      </c>
      <c r="B127" t="s">
        <v>834</v>
      </c>
      <c r="C127" t="s">
        <v>871</v>
      </c>
      <c r="D127" t="s">
        <v>872</v>
      </c>
      <c r="E127">
        <v>919022</v>
      </c>
      <c r="F127">
        <v>8</v>
      </c>
      <c r="G127">
        <v>21</v>
      </c>
      <c r="H127">
        <v>13</v>
      </c>
      <c r="I127">
        <v>11249</v>
      </c>
      <c r="J127" t="s">
        <v>834</v>
      </c>
      <c r="K127" t="s">
        <v>873</v>
      </c>
      <c r="O127" t="str">
        <f t="shared" si="1"/>
        <v>EPL</v>
      </c>
    </row>
    <row r="128" spans="1:15">
      <c r="A128">
        <v>13</v>
      </c>
      <c r="B128" t="s">
        <v>834</v>
      </c>
      <c r="C128" t="s">
        <v>871</v>
      </c>
      <c r="D128" t="s">
        <v>872</v>
      </c>
      <c r="E128">
        <v>919014</v>
      </c>
      <c r="F128">
        <v>8</v>
      </c>
      <c r="G128">
        <v>31</v>
      </c>
      <c r="H128">
        <v>110</v>
      </c>
      <c r="I128">
        <v>48</v>
      </c>
      <c r="J128" t="s">
        <v>834</v>
      </c>
      <c r="K128" t="s">
        <v>873</v>
      </c>
      <c r="O128" t="str">
        <f t="shared" si="1"/>
        <v>EPL</v>
      </c>
    </row>
    <row r="129" spans="1:15">
      <c r="A129">
        <v>13</v>
      </c>
      <c r="B129" t="s">
        <v>834</v>
      </c>
      <c r="C129" t="s">
        <v>871</v>
      </c>
      <c r="D129" t="s">
        <v>872</v>
      </c>
      <c r="E129">
        <v>919017</v>
      </c>
      <c r="F129">
        <v>8</v>
      </c>
      <c r="G129">
        <v>1</v>
      </c>
      <c r="H129">
        <v>36</v>
      </c>
      <c r="I129">
        <v>28</v>
      </c>
      <c r="J129" t="s">
        <v>834</v>
      </c>
      <c r="K129" t="s">
        <v>873</v>
      </c>
      <c r="O129" t="str">
        <f t="shared" si="1"/>
        <v>EPL</v>
      </c>
    </row>
    <row r="130" spans="1:15">
      <c r="A130">
        <v>13</v>
      </c>
      <c r="B130" t="s">
        <v>834</v>
      </c>
      <c r="C130" t="s">
        <v>871</v>
      </c>
      <c r="D130" t="s">
        <v>872</v>
      </c>
      <c r="E130">
        <v>919015</v>
      </c>
      <c r="F130">
        <v>8</v>
      </c>
      <c r="G130">
        <v>38</v>
      </c>
      <c r="H130">
        <v>43</v>
      </c>
      <c r="I130">
        <v>54</v>
      </c>
      <c r="J130" t="s">
        <v>834</v>
      </c>
      <c r="K130" t="s">
        <v>873</v>
      </c>
      <c r="O130" t="str">
        <f t="shared" si="1"/>
        <v>EPL</v>
      </c>
    </row>
    <row r="131" spans="1:15">
      <c r="A131">
        <v>13</v>
      </c>
      <c r="B131" t="s">
        <v>834</v>
      </c>
      <c r="C131" t="s">
        <v>871</v>
      </c>
      <c r="D131" t="s">
        <v>872</v>
      </c>
      <c r="E131">
        <v>919016</v>
      </c>
      <c r="F131">
        <v>8</v>
      </c>
      <c r="G131">
        <v>14</v>
      </c>
      <c r="H131">
        <v>8</v>
      </c>
      <c r="I131">
        <v>39</v>
      </c>
      <c r="J131" t="s">
        <v>834</v>
      </c>
      <c r="K131" t="s">
        <v>873</v>
      </c>
      <c r="O131" t="str">
        <f t="shared" ref="O131:O194" si="2">VLOOKUP(F131,$Q$3:$R$9,2,0)</f>
        <v>EPL</v>
      </c>
    </row>
    <row r="132" spans="1:15">
      <c r="A132">
        <v>13</v>
      </c>
      <c r="B132" t="s">
        <v>834</v>
      </c>
      <c r="C132" t="s">
        <v>871</v>
      </c>
      <c r="D132" t="s">
        <v>872</v>
      </c>
      <c r="E132">
        <v>919026</v>
      </c>
      <c r="F132">
        <v>8</v>
      </c>
      <c r="G132">
        <v>13</v>
      </c>
      <c r="H132">
        <v>6</v>
      </c>
      <c r="I132">
        <v>2516</v>
      </c>
      <c r="J132" t="s">
        <v>834</v>
      </c>
      <c r="K132" t="s">
        <v>874</v>
      </c>
      <c r="O132" t="str">
        <f t="shared" si="2"/>
        <v>EPL</v>
      </c>
    </row>
    <row r="133" spans="1:15">
      <c r="A133">
        <v>13</v>
      </c>
      <c r="B133" t="s">
        <v>834</v>
      </c>
      <c r="C133" t="s">
        <v>871</v>
      </c>
      <c r="D133" t="s">
        <v>872</v>
      </c>
      <c r="E133">
        <v>919027</v>
      </c>
      <c r="F133">
        <v>8</v>
      </c>
      <c r="G133">
        <v>57</v>
      </c>
      <c r="H133">
        <v>1</v>
      </c>
      <c r="I133">
        <v>73</v>
      </c>
      <c r="J133" t="s">
        <v>834</v>
      </c>
      <c r="K133" t="s">
        <v>874</v>
      </c>
      <c r="O133" t="str">
        <f t="shared" si="2"/>
        <v>EPL</v>
      </c>
    </row>
    <row r="134" spans="1:15">
      <c r="A134">
        <v>13</v>
      </c>
      <c r="B134" t="s">
        <v>834</v>
      </c>
      <c r="C134" t="s">
        <v>871</v>
      </c>
      <c r="D134" t="s">
        <v>872</v>
      </c>
      <c r="E134">
        <v>919025</v>
      </c>
      <c r="F134">
        <v>8</v>
      </c>
      <c r="G134">
        <v>36</v>
      </c>
      <c r="H134">
        <v>31</v>
      </c>
      <c r="I134">
        <v>7403</v>
      </c>
      <c r="J134" t="s">
        <v>834</v>
      </c>
      <c r="K134" t="s">
        <v>874</v>
      </c>
      <c r="O134" t="str">
        <f t="shared" si="2"/>
        <v>EPL</v>
      </c>
    </row>
    <row r="135" spans="1:15">
      <c r="A135">
        <v>13</v>
      </c>
      <c r="B135" t="s">
        <v>834</v>
      </c>
      <c r="C135" t="s">
        <v>871</v>
      </c>
      <c r="D135" t="s">
        <v>872</v>
      </c>
      <c r="E135">
        <v>919024</v>
      </c>
      <c r="F135">
        <v>8</v>
      </c>
      <c r="G135">
        <v>3</v>
      </c>
      <c r="H135">
        <v>38</v>
      </c>
      <c r="I135">
        <v>3250</v>
      </c>
      <c r="J135" t="s">
        <v>834</v>
      </c>
      <c r="K135" t="s">
        <v>874</v>
      </c>
      <c r="O135" t="str">
        <f t="shared" si="2"/>
        <v>EPL</v>
      </c>
    </row>
    <row r="136" spans="1:15">
      <c r="A136">
        <v>13</v>
      </c>
      <c r="B136" t="s">
        <v>834</v>
      </c>
      <c r="C136" t="s">
        <v>871</v>
      </c>
      <c r="D136" t="s">
        <v>872</v>
      </c>
      <c r="E136">
        <v>919023</v>
      </c>
      <c r="F136">
        <v>8</v>
      </c>
      <c r="G136">
        <v>91</v>
      </c>
      <c r="H136">
        <v>90</v>
      </c>
      <c r="I136">
        <v>2734</v>
      </c>
      <c r="J136" t="s">
        <v>834</v>
      </c>
      <c r="K136" t="s">
        <v>874</v>
      </c>
      <c r="O136" t="str">
        <f t="shared" si="2"/>
        <v>EPL</v>
      </c>
    </row>
    <row r="137" spans="1:15">
      <c r="A137">
        <v>13</v>
      </c>
      <c r="B137" t="s">
        <v>834</v>
      </c>
      <c r="C137" t="s">
        <v>871</v>
      </c>
      <c r="D137" t="s">
        <v>872</v>
      </c>
      <c r="E137">
        <v>919028</v>
      </c>
      <c r="F137">
        <v>8</v>
      </c>
      <c r="G137">
        <v>35</v>
      </c>
      <c r="H137">
        <v>4</v>
      </c>
      <c r="I137">
        <v>51</v>
      </c>
      <c r="J137" t="s">
        <v>834</v>
      </c>
      <c r="K137" t="s">
        <v>875</v>
      </c>
      <c r="O137" t="str">
        <f t="shared" si="2"/>
        <v>EPL</v>
      </c>
    </row>
    <row r="138" spans="1:15">
      <c r="A138">
        <v>13</v>
      </c>
      <c r="B138" t="s">
        <v>834</v>
      </c>
      <c r="C138" t="s">
        <v>871</v>
      </c>
      <c r="D138" t="s">
        <v>872</v>
      </c>
      <c r="E138">
        <v>919030</v>
      </c>
      <c r="F138">
        <v>8</v>
      </c>
      <c r="G138">
        <v>11</v>
      </c>
      <c r="H138">
        <v>21</v>
      </c>
      <c r="I138">
        <v>37</v>
      </c>
      <c r="J138" t="s">
        <v>834</v>
      </c>
      <c r="K138" t="s">
        <v>876</v>
      </c>
      <c r="O138" t="str">
        <f t="shared" si="2"/>
        <v>EPL</v>
      </c>
    </row>
    <row r="139" spans="1:15">
      <c r="A139">
        <v>13</v>
      </c>
      <c r="B139" t="s">
        <v>834</v>
      </c>
      <c r="C139" t="s">
        <v>871</v>
      </c>
      <c r="D139" t="s">
        <v>872</v>
      </c>
      <c r="E139">
        <v>919029</v>
      </c>
      <c r="F139">
        <v>8</v>
      </c>
      <c r="G139">
        <v>8</v>
      </c>
      <c r="H139">
        <v>80</v>
      </c>
      <c r="I139">
        <v>35</v>
      </c>
      <c r="J139" t="s">
        <v>834</v>
      </c>
      <c r="K139" t="s">
        <v>876</v>
      </c>
      <c r="O139" t="str">
        <f t="shared" si="2"/>
        <v>EPL</v>
      </c>
    </row>
    <row r="140" spans="1:15">
      <c r="A140">
        <v>13</v>
      </c>
      <c r="B140" t="s">
        <v>834</v>
      </c>
      <c r="C140" t="s">
        <v>871</v>
      </c>
      <c r="D140" t="s">
        <v>872</v>
      </c>
      <c r="E140">
        <v>919032</v>
      </c>
      <c r="F140">
        <v>8</v>
      </c>
      <c r="G140">
        <v>110</v>
      </c>
      <c r="H140">
        <v>14</v>
      </c>
      <c r="I140">
        <v>1</v>
      </c>
      <c r="J140" t="s">
        <v>834</v>
      </c>
      <c r="K140" t="s">
        <v>877</v>
      </c>
      <c r="O140" t="str">
        <f t="shared" si="2"/>
        <v>EPL</v>
      </c>
    </row>
    <row r="141" spans="1:15">
      <c r="A141">
        <v>13</v>
      </c>
      <c r="B141" t="s">
        <v>834</v>
      </c>
      <c r="C141" t="s">
        <v>871</v>
      </c>
      <c r="D141" t="s">
        <v>872</v>
      </c>
      <c r="E141">
        <v>919031</v>
      </c>
      <c r="F141">
        <v>8</v>
      </c>
      <c r="G141">
        <v>43</v>
      </c>
      <c r="H141">
        <v>20</v>
      </c>
      <c r="I141">
        <v>2691</v>
      </c>
      <c r="J141" t="s">
        <v>834</v>
      </c>
      <c r="K141" t="s">
        <v>877</v>
      </c>
      <c r="O141" t="str">
        <f t="shared" si="2"/>
        <v>EPL</v>
      </c>
    </row>
    <row r="142" spans="1:15">
      <c r="A142">
        <v>14</v>
      </c>
      <c r="B142" t="s">
        <v>834</v>
      </c>
      <c r="C142" t="s">
        <v>878</v>
      </c>
      <c r="D142" t="s">
        <v>879</v>
      </c>
      <c r="E142">
        <v>919039</v>
      </c>
      <c r="F142">
        <v>8</v>
      </c>
      <c r="G142">
        <v>43</v>
      </c>
      <c r="H142">
        <v>21</v>
      </c>
      <c r="I142">
        <v>2691</v>
      </c>
      <c r="J142" t="s">
        <v>834</v>
      </c>
      <c r="K142" t="s">
        <v>880</v>
      </c>
      <c r="O142" t="str">
        <f t="shared" si="2"/>
        <v>EPL</v>
      </c>
    </row>
    <row r="143" spans="1:15">
      <c r="A143">
        <v>14</v>
      </c>
      <c r="B143" t="s">
        <v>834</v>
      </c>
      <c r="C143" t="s">
        <v>878</v>
      </c>
      <c r="D143" t="s">
        <v>879</v>
      </c>
      <c r="E143">
        <v>919040</v>
      </c>
      <c r="F143">
        <v>8</v>
      </c>
      <c r="G143">
        <v>110</v>
      </c>
      <c r="H143">
        <v>80</v>
      </c>
      <c r="I143">
        <v>1</v>
      </c>
      <c r="J143" t="s">
        <v>834</v>
      </c>
      <c r="K143" t="s">
        <v>880</v>
      </c>
      <c r="O143" t="str">
        <f t="shared" si="2"/>
        <v>EPL</v>
      </c>
    </row>
    <row r="144" spans="1:15">
      <c r="A144">
        <v>14</v>
      </c>
      <c r="B144" t="s">
        <v>834</v>
      </c>
      <c r="C144" t="s">
        <v>878</v>
      </c>
      <c r="D144" t="s">
        <v>879</v>
      </c>
      <c r="E144">
        <v>919041</v>
      </c>
      <c r="F144">
        <v>8</v>
      </c>
      <c r="G144">
        <v>57</v>
      </c>
      <c r="H144">
        <v>6</v>
      </c>
      <c r="I144">
        <v>73</v>
      </c>
      <c r="J144" t="s">
        <v>834</v>
      </c>
      <c r="K144" t="s">
        <v>880</v>
      </c>
      <c r="O144" t="str">
        <f t="shared" si="2"/>
        <v>EPL</v>
      </c>
    </row>
    <row r="145" spans="1:15">
      <c r="A145">
        <v>14</v>
      </c>
      <c r="B145" t="s">
        <v>834</v>
      </c>
      <c r="C145" t="s">
        <v>878</v>
      </c>
      <c r="D145" t="s">
        <v>879</v>
      </c>
      <c r="E145">
        <v>919042</v>
      </c>
      <c r="F145">
        <v>8</v>
      </c>
      <c r="G145">
        <v>35</v>
      </c>
      <c r="H145">
        <v>31</v>
      </c>
      <c r="I145">
        <v>51</v>
      </c>
      <c r="J145" t="s">
        <v>834</v>
      </c>
      <c r="K145" t="s">
        <v>880</v>
      </c>
      <c r="O145" t="str">
        <f t="shared" si="2"/>
        <v>EPL</v>
      </c>
    </row>
    <row r="146" spans="1:15">
      <c r="A146">
        <v>14</v>
      </c>
      <c r="B146" t="s">
        <v>834</v>
      </c>
      <c r="C146" t="s">
        <v>878</v>
      </c>
      <c r="D146" t="s">
        <v>879</v>
      </c>
      <c r="E146">
        <v>919038</v>
      </c>
      <c r="F146">
        <v>8</v>
      </c>
      <c r="G146">
        <v>13</v>
      </c>
      <c r="H146">
        <v>90</v>
      </c>
      <c r="I146">
        <v>2516</v>
      </c>
      <c r="J146" t="s">
        <v>834</v>
      </c>
      <c r="K146" t="s">
        <v>880</v>
      </c>
      <c r="O146" t="str">
        <f t="shared" si="2"/>
        <v>EPL</v>
      </c>
    </row>
    <row r="147" spans="1:15">
      <c r="A147">
        <v>14</v>
      </c>
      <c r="B147" t="s">
        <v>834</v>
      </c>
      <c r="C147" t="s">
        <v>878</v>
      </c>
      <c r="D147" t="s">
        <v>879</v>
      </c>
      <c r="E147">
        <v>919037</v>
      </c>
      <c r="F147">
        <v>8</v>
      </c>
      <c r="G147">
        <v>11</v>
      </c>
      <c r="H147">
        <v>38</v>
      </c>
      <c r="I147">
        <v>37</v>
      </c>
      <c r="J147" t="s">
        <v>834</v>
      </c>
      <c r="K147" t="s">
        <v>880</v>
      </c>
      <c r="O147" t="str">
        <f t="shared" si="2"/>
        <v>EPL</v>
      </c>
    </row>
    <row r="148" spans="1:15">
      <c r="A148">
        <v>14</v>
      </c>
      <c r="B148" t="s">
        <v>834</v>
      </c>
      <c r="C148" t="s">
        <v>878</v>
      </c>
      <c r="D148" t="s">
        <v>879</v>
      </c>
      <c r="E148">
        <v>919034</v>
      </c>
      <c r="F148">
        <v>8</v>
      </c>
      <c r="G148">
        <v>3</v>
      </c>
      <c r="H148">
        <v>1</v>
      </c>
      <c r="I148">
        <v>3250</v>
      </c>
      <c r="J148" t="s">
        <v>834</v>
      </c>
      <c r="K148" t="s">
        <v>880</v>
      </c>
      <c r="O148" t="str">
        <f t="shared" si="2"/>
        <v>EPL</v>
      </c>
    </row>
    <row r="149" spans="1:15">
      <c r="A149">
        <v>14</v>
      </c>
      <c r="B149" t="s">
        <v>834</v>
      </c>
      <c r="C149" t="s">
        <v>878</v>
      </c>
      <c r="D149" t="s">
        <v>879</v>
      </c>
      <c r="E149">
        <v>919035</v>
      </c>
      <c r="F149">
        <v>8</v>
      </c>
      <c r="G149">
        <v>36</v>
      </c>
      <c r="H149">
        <v>14</v>
      </c>
      <c r="I149">
        <v>7403</v>
      </c>
      <c r="J149" t="s">
        <v>834</v>
      </c>
      <c r="K149" t="s">
        <v>880</v>
      </c>
      <c r="O149" t="str">
        <f t="shared" si="2"/>
        <v>EPL</v>
      </c>
    </row>
    <row r="150" spans="1:15">
      <c r="A150">
        <v>14</v>
      </c>
      <c r="B150" t="s">
        <v>834</v>
      </c>
      <c r="C150" t="s">
        <v>878</v>
      </c>
      <c r="D150" t="s">
        <v>879</v>
      </c>
      <c r="E150">
        <v>919036</v>
      </c>
      <c r="F150">
        <v>8</v>
      </c>
      <c r="G150">
        <v>8</v>
      </c>
      <c r="H150">
        <v>4</v>
      </c>
      <c r="I150">
        <v>35</v>
      </c>
      <c r="J150" t="s">
        <v>834</v>
      </c>
      <c r="K150" t="s">
        <v>880</v>
      </c>
      <c r="O150" t="str">
        <f t="shared" si="2"/>
        <v>EPL</v>
      </c>
    </row>
    <row r="151" spans="1:15">
      <c r="A151">
        <v>14</v>
      </c>
      <c r="B151" t="s">
        <v>834</v>
      </c>
      <c r="C151" t="s">
        <v>878</v>
      </c>
      <c r="D151" t="s">
        <v>879</v>
      </c>
      <c r="E151">
        <v>919033</v>
      </c>
      <c r="F151">
        <v>8</v>
      </c>
      <c r="G151">
        <v>91</v>
      </c>
      <c r="H151">
        <v>20</v>
      </c>
      <c r="I151">
        <v>2734</v>
      </c>
      <c r="J151" t="s">
        <v>834</v>
      </c>
      <c r="K151" t="s">
        <v>880</v>
      </c>
      <c r="O151" t="str">
        <f t="shared" si="2"/>
        <v>EPL</v>
      </c>
    </row>
    <row r="152" spans="1:15">
      <c r="A152">
        <v>15</v>
      </c>
      <c r="B152" t="s">
        <v>834</v>
      </c>
      <c r="C152" t="s">
        <v>881</v>
      </c>
      <c r="D152" t="s">
        <v>882</v>
      </c>
      <c r="E152">
        <v>919049</v>
      </c>
      <c r="F152">
        <v>8</v>
      </c>
      <c r="G152">
        <v>20</v>
      </c>
      <c r="H152">
        <v>3</v>
      </c>
      <c r="I152">
        <v>2370</v>
      </c>
      <c r="J152" t="s">
        <v>834</v>
      </c>
      <c r="K152" t="s">
        <v>883</v>
      </c>
      <c r="O152" t="str">
        <f t="shared" si="2"/>
        <v>EPL</v>
      </c>
    </row>
    <row r="153" spans="1:15">
      <c r="A153">
        <v>15</v>
      </c>
      <c r="B153" t="s">
        <v>834</v>
      </c>
      <c r="C153" t="s">
        <v>881</v>
      </c>
      <c r="D153" t="s">
        <v>882</v>
      </c>
      <c r="E153">
        <v>919050</v>
      </c>
      <c r="F153">
        <v>8</v>
      </c>
      <c r="G153">
        <v>80</v>
      </c>
      <c r="H153">
        <v>35</v>
      </c>
      <c r="I153">
        <v>2867</v>
      </c>
      <c r="J153" t="s">
        <v>834</v>
      </c>
      <c r="K153" t="s">
        <v>883</v>
      </c>
      <c r="O153" t="str">
        <f t="shared" si="2"/>
        <v>EPL</v>
      </c>
    </row>
    <row r="154" spans="1:15">
      <c r="A154">
        <v>15</v>
      </c>
      <c r="B154" t="s">
        <v>834</v>
      </c>
      <c r="C154" t="s">
        <v>881</v>
      </c>
      <c r="D154" t="s">
        <v>882</v>
      </c>
      <c r="E154">
        <v>919051</v>
      </c>
      <c r="F154">
        <v>8</v>
      </c>
      <c r="G154">
        <v>6</v>
      </c>
      <c r="H154">
        <v>110</v>
      </c>
      <c r="I154">
        <v>5</v>
      </c>
      <c r="J154" t="s">
        <v>834</v>
      </c>
      <c r="K154" t="s">
        <v>883</v>
      </c>
      <c r="O154" t="str">
        <f t="shared" si="2"/>
        <v>EPL</v>
      </c>
    </row>
    <row r="155" spans="1:15">
      <c r="A155">
        <v>15</v>
      </c>
      <c r="B155" t="s">
        <v>834</v>
      </c>
      <c r="C155" t="s">
        <v>881</v>
      </c>
      <c r="D155" t="s">
        <v>882</v>
      </c>
      <c r="E155">
        <v>919043</v>
      </c>
      <c r="F155">
        <v>8</v>
      </c>
      <c r="G155">
        <v>90</v>
      </c>
      <c r="H155">
        <v>57</v>
      </c>
      <c r="I155">
        <v>88</v>
      </c>
      <c r="J155" t="s">
        <v>834</v>
      </c>
      <c r="K155" t="s">
        <v>883</v>
      </c>
      <c r="O155" t="str">
        <f t="shared" si="2"/>
        <v>EPL</v>
      </c>
    </row>
    <row r="156" spans="1:15">
      <c r="A156">
        <v>15</v>
      </c>
      <c r="B156" t="s">
        <v>834</v>
      </c>
      <c r="C156" t="s">
        <v>881</v>
      </c>
      <c r="D156" t="s">
        <v>882</v>
      </c>
      <c r="E156">
        <v>919048</v>
      </c>
      <c r="F156">
        <v>8</v>
      </c>
      <c r="G156">
        <v>4</v>
      </c>
      <c r="H156">
        <v>13</v>
      </c>
      <c r="I156">
        <v>31</v>
      </c>
      <c r="J156" t="s">
        <v>834</v>
      </c>
      <c r="K156" t="s">
        <v>883</v>
      </c>
      <c r="O156" t="str">
        <f t="shared" si="2"/>
        <v>EPL</v>
      </c>
    </row>
    <row r="157" spans="1:15">
      <c r="A157">
        <v>15</v>
      </c>
      <c r="B157" t="s">
        <v>834</v>
      </c>
      <c r="C157" t="s">
        <v>881</v>
      </c>
      <c r="D157" t="s">
        <v>882</v>
      </c>
      <c r="E157">
        <v>919052</v>
      </c>
      <c r="F157">
        <v>8</v>
      </c>
      <c r="G157">
        <v>21</v>
      </c>
      <c r="H157">
        <v>8</v>
      </c>
      <c r="I157">
        <v>11249</v>
      </c>
      <c r="J157" t="s">
        <v>834</v>
      </c>
      <c r="K157" t="s">
        <v>883</v>
      </c>
      <c r="O157" t="str">
        <f t="shared" si="2"/>
        <v>EPL</v>
      </c>
    </row>
    <row r="158" spans="1:15">
      <c r="A158">
        <v>15</v>
      </c>
      <c r="B158" t="s">
        <v>834</v>
      </c>
      <c r="C158" t="s">
        <v>881</v>
      </c>
      <c r="D158" t="s">
        <v>882</v>
      </c>
      <c r="E158">
        <v>919044</v>
      </c>
      <c r="F158">
        <v>8</v>
      </c>
      <c r="G158">
        <v>31</v>
      </c>
      <c r="H158">
        <v>91</v>
      </c>
      <c r="I158">
        <v>48</v>
      </c>
      <c r="J158" t="s">
        <v>834</v>
      </c>
      <c r="K158" t="s">
        <v>883</v>
      </c>
      <c r="O158" t="str">
        <f t="shared" si="2"/>
        <v>EPL</v>
      </c>
    </row>
    <row r="159" spans="1:15">
      <c r="A159">
        <v>15</v>
      </c>
      <c r="B159" t="s">
        <v>834</v>
      </c>
      <c r="C159" t="s">
        <v>881</v>
      </c>
      <c r="D159" t="s">
        <v>882</v>
      </c>
      <c r="E159">
        <v>919047</v>
      </c>
      <c r="F159">
        <v>8</v>
      </c>
      <c r="G159">
        <v>1</v>
      </c>
      <c r="H159">
        <v>43</v>
      </c>
      <c r="I159">
        <v>28</v>
      </c>
      <c r="J159" t="s">
        <v>834</v>
      </c>
      <c r="K159" t="s">
        <v>883</v>
      </c>
      <c r="O159" t="str">
        <f t="shared" si="2"/>
        <v>EPL</v>
      </c>
    </row>
    <row r="160" spans="1:15">
      <c r="A160">
        <v>15</v>
      </c>
      <c r="B160" t="s">
        <v>834</v>
      </c>
      <c r="C160" t="s">
        <v>881</v>
      </c>
      <c r="D160" t="s">
        <v>882</v>
      </c>
      <c r="E160">
        <v>919045</v>
      </c>
      <c r="F160">
        <v>8</v>
      </c>
      <c r="G160">
        <v>38</v>
      </c>
      <c r="H160">
        <v>36</v>
      </c>
      <c r="I160">
        <v>54</v>
      </c>
      <c r="J160" t="s">
        <v>834</v>
      </c>
      <c r="K160" t="s">
        <v>883</v>
      </c>
      <c r="O160" t="str">
        <f t="shared" si="2"/>
        <v>EPL</v>
      </c>
    </row>
    <row r="161" spans="1:15">
      <c r="A161">
        <v>15</v>
      </c>
      <c r="B161" t="s">
        <v>834</v>
      </c>
      <c r="C161" t="s">
        <v>881</v>
      </c>
      <c r="D161" t="s">
        <v>882</v>
      </c>
      <c r="E161">
        <v>919046</v>
      </c>
      <c r="F161">
        <v>8</v>
      </c>
      <c r="G161">
        <v>14</v>
      </c>
      <c r="H161">
        <v>11</v>
      </c>
      <c r="I161">
        <v>39</v>
      </c>
      <c r="J161" t="s">
        <v>834</v>
      </c>
      <c r="K161" t="s">
        <v>883</v>
      </c>
      <c r="O161" t="str">
        <f t="shared" si="2"/>
        <v>EPL</v>
      </c>
    </row>
    <row r="162" spans="1:15">
      <c r="A162">
        <v>15</v>
      </c>
      <c r="B162" t="s">
        <v>834</v>
      </c>
      <c r="C162" t="s">
        <v>881</v>
      </c>
      <c r="D162" t="s">
        <v>882</v>
      </c>
      <c r="E162">
        <v>919057</v>
      </c>
      <c r="F162">
        <v>8</v>
      </c>
      <c r="G162">
        <v>80</v>
      </c>
      <c r="H162">
        <v>43</v>
      </c>
      <c r="I162">
        <v>2867</v>
      </c>
      <c r="J162" t="s">
        <v>834</v>
      </c>
      <c r="K162" t="s">
        <v>884</v>
      </c>
      <c r="O162" t="str">
        <f t="shared" si="2"/>
        <v>EPL</v>
      </c>
    </row>
    <row r="163" spans="1:15">
      <c r="A163">
        <v>15</v>
      </c>
      <c r="B163" t="s">
        <v>834</v>
      </c>
      <c r="C163" t="s">
        <v>881</v>
      </c>
      <c r="D163" t="s">
        <v>882</v>
      </c>
      <c r="E163">
        <v>919058</v>
      </c>
      <c r="F163">
        <v>8</v>
      </c>
      <c r="G163">
        <v>21</v>
      </c>
      <c r="H163">
        <v>3</v>
      </c>
      <c r="I163">
        <v>11249</v>
      </c>
      <c r="J163" t="s">
        <v>834</v>
      </c>
      <c r="K163" t="s">
        <v>884</v>
      </c>
      <c r="O163" t="str">
        <f t="shared" si="2"/>
        <v>EPL</v>
      </c>
    </row>
    <row r="164" spans="1:15">
      <c r="A164">
        <v>15</v>
      </c>
      <c r="B164" t="s">
        <v>834</v>
      </c>
      <c r="C164" t="s">
        <v>881</v>
      </c>
      <c r="D164" t="s">
        <v>882</v>
      </c>
      <c r="E164">
        <v>919055</v>
      </c>
      <c r="F164">
        <v>8</v>
      </c>
      <c r="G164">
        <v>38</v>
      </c>
      <c r="H164">
        <v>8</v>
      </c>
      <c r="I164">
        <v>54</v>
      </c>
      <c r="J164" t="s">
        <v>834</v>
      </c>
      <c r="K164" t="s">
        <v>884</v>
      </c>
      <c r="O164" t="str">
        <f t="shared" si="2"/>
        <v>EPL</v>
      </c>
    </row>
    <row r="165" spans="1:15">
      <c r="A165">
        <v>15</v>
      </c>
      <c r="B165" t="s">
        <v>834</v>
      </c>
      <c r="C165" t="s">
        <v>881</v>
      </c>
      <c r="D165" t="s">
        <v>882</v>
      </c>
      <c r="E165">
        <v>919053</v>
      </c>
      <c r="F165">
        <v>8</v>
      </c>
      <c r="G165">
        <v>90</v>
      </c>
      <c r="H165">
        <v>110</v>
      </c>
      <c r="I165">
        <v>88</v>
      </c>
      <c r="J165" t="s">
        <v>834</v>
      </c>
      <c r="K165" t="s">
        <v>884</v>
      </c>
      <c r="O165" t="str">
        <f t="shared" si="2"/>
        <v>EPL</v>
      </c>
    </row>
    <row r="166" spans="1:15">
      <c r="A166">
        <v>15</v>
      </c>
      <c r="B166" t="s">
        <v>834</v>
      </c>
      <c r="C166" t="s">
        <v>881</v>
      </c>
      <c r="D166" t="s">
        <v>882</v>
      </c>
      <c r="E166">
        <v>919054</v>
      </c>
      <c r="F166">
        <v>8</v>
      </c>
      <c r="G166">
        <v>31</v>
      </c>
      <c r="H166">
        <v>57</v>
      </c>
      <c r="I166">
        <v>48</v>
      </c>
      <c r="J166" t="s">
        <v>834</v>
      </c>
      <c r="K166" t="s">
        <v>885</v>
      </c>
      <c r="O166" t="str">
        <f t="shared" si="2"/>
        <v>EPL</v>
      </c>
    </row>
    <row r="167" spans="1:15">
      <c r="A167">
        <v>15</v>
      </c>
      <c r="B167" t="s">
        <v>834</v>
      </c>
      <c r="C167" t="s">
        <v>881</v>
      </c>
      <c r="D167" t="s">
        <v>882</v>
      </c>
      <c r="E167">
        <v>919056</v>
      </c>
      <c r="F167">
        <v>8</v>
      </c>
      <c r="G167">
        <v>1</v>
      </c>
      <c r="H167">
        <v>91</v>
      </c>
      <c r="I167">
        <v>28</v>
      </c>
      <c r="J167" t="s">
        <v>834</v>
      </c>
      <c r="K167" t="s">
        <v>885</v>
      </c>
      <c r="O167" t="str">
        <f t="shared" si="2"/>
        <v>EPL</v>
      </c>
    </row>
    <row r="168" spans="1:15">
      <c r="A168">
        <v>15</v>
      </c>
      <c r="B168" t="s">
        <v>834</v>
      </c>
      <c r="C168" t="s">
        <v>881</v>
      </c>
      <c r="D168" t="s">
        <v>882</v>
      </c>
      <c r="E168">
        <v>919061</v>
      </c>
      <c r="F168">
        <v>8</v>
      </c>
      <c r="G168">
        <v>20</v>
      </c>
      <c r="H168">
        <v>13</v>
      </c>
      <c r="I168">
        <v>2370</v>
      </c>
      <c r="J168" t="s">
        <v>834</v>
      </c>
      <c r="K168" t="s">
        <v>886</v>
      </c>
      <c r="O168" t="str">
        <f t="shared" si="2"/>
        <v>EPL</v>
      </c>
    </row>
    <row r="169" spans="1:15">
      <c r="A169">
        <v>15</v>
      </c>
      <c r="B169" t="s">
        <v>834</v>
      </c>
      <c r="C169" t="s">
        <v>881</v>
      </c>
      <c r="D169" t="s">
        <v>882</v>
      </c>
      <c r="E169">
        <v>919060</v>
      </c>
      <c r="F169">
        <v>8</v>
      </c>
      <c r="G169">
        <v>4</v>
      </c>
      <c r="H169">
        <v>11</v>
      </c>
      <c r="I169">
        <v>31</v>
      </c>
      <c r="J169" t="s">
        <v>834</v>
      </c>
      <c r="K169" t="s">
        <v>886</v>
      </c>
      <c r="O169" t="str">
        <f t="shared" si="2"/>
        <v>EPL</v>
      </c>
    </row>
    <row r="170" spans="1:15">
      <c r="A170">
        <v>15</v>
      </c>
      <c r="B170" t="s">
        <v>834</v>
      </c>
      <c r="C170" t="s">
        <v>881</v>
      </c>
      <c r="D170" t="s">
        <v>882</v>
      </c>
      <c r="E170">
        <v>919062</v>
      </c>
      <c r="F170">
        <v>8</v>
      </c>
      <c r="G170">
        <v>6</v>
      </c>
      <c r="H170">
        <v>36</v>
      </c>
      <c r="I170">
        <v>5</v>
      </c>
      <c r="J170" t="s">
        <v>834</v>
      </c>
      <c r="K170" t="s">
        <v>887</v>
      </c>
      <c r="O170" t="str">
        <f t="shared" si="2"/>
        <v>EPL</v>
      </c>
    </row>
    <row r="171" spans="1:15">
      <c r="A171">
        <v>15</v>
      </c>
      <c r="B171" t="s">
        <v>834</v>
      </c>
      <c r="C171" t="s">
        <v>881</v>
      </c>
      <c r="D171" t="s">
        <v>882</v>
      </c>
      <c r="E171">
        <v>919059</v>
      </c>
      <c r="F171">
        <v>8</v>
      </c>
      <c r="G171">
        <v>14</v>
      </c>
      <c r="H171">
        <v>35</v>
      </c>
      <c r="I171">
        <v>39</v>
      </c>
      <c r="J171" t="s">
        <v>834</v>
      </c>
      <c r="K171" t="s">
        <v>887</v>
      </c>
      <c r="O171" t="str">
        <f t="shared" si="2"/>
        <v>EPL</v>
      </c>
    </row>
    <row r="172" spans="1:15">
      <c r="A172">
        <v>16</v>
      </c>
      <c r="B172" t="s">
        <v>834</v>
      </c>
      <c r="C172" t="s">
        <v>888</v>
      </c>
      <c r="D172" t="s">
        <v>889</v>
      </c>
      <c r="E172">
        <v>919069</v>
      </c>
      <c r="F172">
        <v>8</v>
      </c>
      <c r="G172">
        <v>43</v>
      </c>
      <c r="H172">
        <v>6</v>
      </c>
      <c r="I172">
        <v>2691</v>
      </c>
      <c r="J172" t="s">
        <v>834</v>
      </c>
      <c r="K172" t="s">
        <v>890</v>
      </c>
      <c r="O172" t="str">
        <f t="shared" si="2"/>
        <v>EPL</v>
      </c>
    </row>
    <row r="173" spans="1:15">
      <c r="A173">
        <v>16</v>
      </c>
      <c r="B173" t="s">
        <v>834</v>
      </c>
      <c r="C173" t="s">
        <v>888</v>
      </c>
      <c r="D173" t="s">
        <v>889</v>
      </c>
      <c r="E173">
        <v>919070</v>
      </c>
      <c r="F173">
        <v>8</v>
      </c>
      <c r="G173">
        <v>110</v>
      </c>
      <c r="H173">
        <v>21</v>
      </c>
      <c r="I173">
        <v>1</v>
      </c>
      <c r="J173" t="s">
        <v>834</v>
      </c>
      <c r="K173" t="s">
        <v>890</v>
      </c>
      <c r="O173" t="str">
        <f t="shared" si="2"/>
        <v>EPL</v>
      </c>
    </row>
    <row r="174" spans="1:15">
      <c r="A174">
        <v>16</v>
      </c>
      <c r="B174" t="s">
        <v>834</v>
      </c>
      <c r="C174" t="s">
        <v>888</v>
      </c>
      <c r="D174" t="s">
        <v>889</v>
      </c>
      <c r="E174">
        <v>919071</v>
      </c>
      <c r="F174">
        <v>8</v>
      </c>
      <c r="G174">
        <v>57</v>
      </c>
      <c r="H174">
        <v>38</v>
      </c>
      <c r="I174">
        <v>73</v>
      </c>
      <c r="J174" t="s">
        <v>834</v>
      </c>
      <c r="K174" t="s">
        <v>890</v>
      </c>
      <c r="O174" t="str">
        <f t="shared" si="2"/>
        <v>EPL</v>
      </c>
    </row>
    <row r="175" spans="1:15">
      <c r="A175">
        <v>16</v>
      </c>
      <c r="B175" t="s">
        <v>834</v>
      </c>
      <c r="C175" t="s">
        <v>888</v>
      </c>
      <c r="D175" t="s">
        <v>889</v>
      </c>
      <c r="E175">
        <v>919072</v>
      </c>
      <c r="F175">
        <v>8</v>
      </c>
      <c r="G175">
        <v>35</v>
      </c>
      <c r="H175">
        <v>1</v>
      </c>
      <c r="I175">
        <v>51</v>
      </c>
      <c r="J175" t="s">
        <v>834</v>
      </c>
      <c r="K175" t="s">
        <v>890</v>
      </c>
      <c r="O175" t="str">
        <f t="shared" si="2"/>
        <v>EPL</v>
      </c>
    </row>
    <row r="176" spans="1:15">
      <c r="A176">
        <v>16</v>
      </c>
      <c r="B176" t="s">
        <v>834</v>
      </c>
      <c r="C176" t="s">
        <v>888</v>
      </c>
      <c r="D176" t="s">
        <v>889</v>
      </c>
      <c r="E176">
        <v>919068</v>
      </c>
      <c r="F176">
        <v>8</v>
      </c>
      <c r="G176">
        <v>13</v>
      </c>
      <c r="H176">
        <v>31</v>
      </c>
      <c r="I176">
        <v>2516</v>
      </c>
      <c r="J176" t="s">
        <v>834</v>
      </c>
      <c r="K176" t="s">
        <v>890</v>
      </c>
      <c r="O176" t="str">
        <f t="shared" si="2"/>
        <v>EPL</v>
      </c>
    </row>
    <row r="177" spans="1:15">
      <c r="A177">
        <v>16</v>
      </c>
      <c r="B177" t="s">
        <v>834</v>
      </c>
      <c r="C177" t="s">
        <v>888</v>
      </c>
      <c r="D177" t="s">
        <v>889</v>
      </c>
      <c r="E177">
        <v>919067</v>
      </c>
      <c r="F177">
        <v>8</v>
      </c>
      <c r="G177">
        <v>11</v>
      </c>
      <c r="H177">
        <v>80</v>
      </c>
      <c r="I177">
        <v>37</v>
      </c>
      <c r="J177" t="s">
        <v>834</v>
      </c>
      <c r="K177" t="s">
        <v>890</v>
      </c>
      <c r="O177" t="str">
        <f t="shared" si="2"/>
        <v>EPL</v>
      </c>
    </row>
    <row r="178" spans="1:15">
      <c r="A178">
        <v>16</v>
      </c>
      <c r="B178" t="s">
        <v>834</v>
      </c>
      <c r="C178" t="s">
        <v>888</v>
      </c>
      <c r="D178" t="s">
        <v>889</v>
      </c>
      <c r="E178">
        <v>919064</v>
      </c>
      <c r="F178">
        <v>8</v>
      </c>
      <c r="G178">
        <v>3</v>
      </c>
      <c r="H178">
        <v>4</v>
      </c>
      <c r="I178">
        <v>3250</v>
      </c>
      <c r="J178" t="s">
        <v>834</v>
      </c>
      <c r="K178" t="s">
        <v>890</v>
      </c>
      <c r="O178" t="str">
        <f t="shared" si="2"/>
        <v>EPL</v>
      </c>
    </row>
    <row r="179" spans="1:15">
      <c r="A179">
        <v>16</v>
      </c>
      <c r="B179" t="s">
        <v>834</v>
      </c>
      <c r="C179" t="s">
        <v>888</v>
      </c>
      <c r="D179" t="s">
        <v>889</v>
      </c>
      <c r="E179">
        <v>919065</v>
      </c>
      <c r="F179">
        <v>8</v>
      </c>
      <c r="G179">
        <v>36</v>
      </c>
      <c r="H179">
        <v>90</v>
      </c>
      <c r="I179">
        <v>7403</v>
      </c>
      <c r="J179" t="s">
        <v>834</v>
      </c>
      <c r="K179" t="s">
        <v>890</v>
      </c>
      <c r="O179" t="str">
        <f t="shared" si="2"/>
        <v>EPL</v>
      </c>
    </row>
    <row r="180" spans="1:15">
      <c r="A180">
        <v>16</v>
      </c>
      <c r="B180" t="s">
        <v>834</v>
      </c>
      <c r="C180" t="s">
        <v>888</v>
      </c>
      <c r="D180" t="s">
        <v>889</v>
      </c>
      <c r="E180">
        <v>919066</v>
      </c>
      <c r="F180">
        <v>8</v>
      </c>
      <c r="G180">
        <v>8</v>
      </c>
      <c r="H180">
        <v>20</v>
      </c>
      <c r="I180">
        <v>35</v>
      </c>
      <c r="J180" t="s">
        <v>834</v>
      </c>
      <c r="K180" t="s">
        <v>890</v>
      </c>
      <c r="O180" t="str">
        <f t="shared" si="2"/>
        <v>EPL</v>
      </c>
    </row>
    <row r="181" spans="1:15">
      <c r="A181">
        <v>16</v>
      </c>
      <c r="B181" t="s">
        <v>834</v>
      </c>
      <c r="C181" t="s">
        <v>888</v>
      </c>
      <c r="D181" t="s">
        <v>889</v>
      </c>
      <c r="E181">
        <v>919063</v>
      </c>
      <c r="F181">
        <v>8</v>
      </c>
      <c r="G181">
        <v>91</v>
      </c>
      <c r="H181">
        <v>14</v>
      </c>
      <c r="I181">
        <v>2734</v>
      </c>
      <c r="J181" t="s">
        <v>834</v>
      </c>
      <c r="K181" t="s">
        <v>890</v>
      </c>
      <c r="O181" t="str">
        <f t="shared" si="2"/>
        <v>EPL</v>
      </c>
    </row>
    <row r="182" spans="1:15">
      <c r="A182">
        <v>17</v>
      </c>
      <c r="B182" t="s">
        <v>834</v>
      </c>
      <c r="C182" t="s">
        <v>891</v>
      </c>
      <c r="D182" t="s">
        <v>892</v>
      </c>
      <c r="E182">
        <v>919079</v>
      </c>
      <c r="F182">
        <v>8</v>
      </c>
      <c r="G182">
        <v>20</v>
      </c>
      <c r="H182">
        <v>38</v>
      </c>
      <c r="I182">
        <v>2370</v>
      </c>
      <c r="J182" t="s">
        <v>834</v>
      </c>
      <c r="K182" t="s">
        <v>893</v>
      </c>
      <c r="O182" t="str">
        <f t="shared" si="2"/>
        <v>EPL</v>
      </c>
    </row>
    <row r="183" spans="1:15">
      <c r="A183">
        <v>17</v>
      </c>
      <c r="B183" t="s">
        <v>834</v>
      </c>
      <c r="C183" t="s">
        <v>891</v>
      </c>
      <c r="D183" t="s">
        <v>892</v>
      </c>
      <c r="E183">
        <v>919080</v>
      </c>
      <c r="F183">
        <v>8</v>
      </c>
      <c r="G183">
        <v>110</v>
      </c>
      <c r="H183">
        <v>35</v>
      </c>
      <c r="I183">
        <v>1</v>
      </c>
      <c r="J183" t="s">
        <v>834</v>
      </c>
      <c r="K183" t="s">
        <v>893</v>
      </c>
      <c r="O183" t="str">
        <f t="shared" si="2"/>
        <v>EPL</v>
      </c>
    </row>
    <row r="184" spans="1:15">
      <c r="A184">
        <v>17</v>
      </c>
      <c r="B184" t="s">
        <v>834</v>
      </c>
      <c r="C184" t="s">
        <v>891</v>
      </c>
      <c r="D184" t="s">
        <v>892</v>
      </c>
      <c r="E184">
        <v>919081</v>
      </c>
      <c r="F184">
        <v>8</v>
      </c>
      <c r="G184">
        <v>80</v>
      </c>
      <c r="H184">
        <v>31</v>
      </c>
      <c r="I184">
        <v>2867</v>
      </c>
      <c r="J184" t="s">
        <v>834</v>
      </c>
      <c r="K184" t="s">
        <v>893</v>
      </c>
      <c r="O184" t="str">
        <f t="shared" si="2"/>
        <v>EPL</v>
      </c>
    </row>
    <row r="185" spans="1:15">
      <c r="A185">
        <v>17</v>
      </c>
      <c r="B185" t="s">
        <v>834</v>
      </c>
      <c r="C185" t="s">
        <v>891</v>
      </c>
      <c r="D185" t="s">
        <v>892</v>
      </c>
      <c r="E185">
        <v>919073</v>
      </c>
      <c r="F185">
        <v>8</v>
      </c>
      <c r="G185">
        <v>3</v>
      </c>
      <c r="H185">
        <v>14</v>
      </c>
      <c r="I185">
        <v>3250</v>
      </c>
      <c r="J185" t="s">
        <v>834</v>
      </c>
      <c r="K185" t="s">
        <v>893</v>
      </c>
      <c r="O185" t="str">
        <f t="shared" si="2"/>
        <v>EPL</v>
      </c>
    </row>
    <row r="186" spans="1:15">
      <c r="A186">
        <v>17</v>
      </c>
      <c r="B186" t="s">
        <v>834</v>
      </c>
      <c r="C186" t="s">
        <v>891</v>
      </c>
      <c r="D186" t="s">
        <v>892</v>
      </c>
      <c r="E186">
        <v>919078</v>
      </c>
      <c r="F186">
        <v>8</v>
      </c>
      <c r="G186">
        <v>43</v>
      </c>
      <c r="H186">
        <v>91</v>
      </c>
      <c r="I186">
        <v>2691</v>
      </c>
      <c r="J186" t="s">
        <v>834</v>
      </c>
      <c r="K186" t="s">
        <v>893</v>
      </c>
      <c r="O186" t="str">
        <f t="shared" si="2"/>
        <v>EPL</v>
      </c>
    </row>
    <row r="187" spans="1:15">
      <c r="A187">
        <v>17</v>
      </c>
      <c r="B187" t="s">
        <v>834</v>
      </c>
      <c r="C187" t="s">
        <v>891</v>
      </c>
      <c r="D187" t="s">
        <v>892</v>
      </c>
      <c r="E187">
        <v>919082</v>
      </c>
      <c r="F187">
        <v>8</v>
      </c>
      <c r="G187">
        <v>21</v>
      </c>
      <c r="H187">
        <v>4</v>
      </c>
      <c r="I187">
        <v>11249</v>
      </c>
      <c r="J187" t="s">
        <v>834</v>
      </c>
      <c r="K187" t="s">
        <v>893</v>
      </c>
      <c r="O187" t="str">
        <f t="shared" si="2"/>
        <v>EPL</v>
      </c>
    </row>
    <row r="188" spans="1:15">
      <c r="A188">
        <v>17</v>
      </c>
      <c r="B188" t="s">
        <v>834</v>
      </c>
      <c r="C188" t="s">
        <v>891</v>
      </c>
      <c r="D188" t="s">
        <v>892</v>
      </c>
      <c r="E188">
        <v>919074</v>
      </c>
      <c r="F188">
        <v>8</v>
      </c>
      <c r="G188">
        <v>36</v>
      </c>
      <c r="H188">
        <v>57</v>
      </c>
      <c r="I188">
        <v>7403</v>
      </c>
      <c r="J188" t="s">
        <v>834</v>
      </c>
      <c r="K188" t="s">
        <v>893</v>
      </c>
      <c r="O188" t="str">
        <f t="shared" si="2"/>
        <v>EPL</v>
      </c>
    </row>
    <row r="189" spans="1:15">
      <c r="A189">
        <v>17</v>
      </c>
      <c r="B189" t="s">
        <v>834</v>
      </c>
      <c r="C189" t="s">
        <v>891</v>
      </c>
      <c r="D189" t="s">
        <v>892</v>
      </c>
      <c r="E189">
        <v>919077</v>
      </c>
      <c r="F189">
        <v>8</v>
      </c>
      <c r="G189">
        <v>13</v>
      </c>
      <c r="H189">
        <v>1</v>
      </c>
      <c r="I189">
        <v>2516</v>
      </c>
      <c r="J189" t="s">
        <v>834</v>
      </c>
      <c r="K189" t="s">
        <v>893</v>
      </c>
      <c r="O189" t="str">
        <f t="shared" si="2"/>
        <v>EPL</v>
      </c>
    </row>
    <row r="190" spans="1:15">
      <c r="A190">
        <v>17</v>
      </c>
      <c r="B190" t="s">
        <v>834</v>
      </c>
      <c r="C190" t="s">
        <v>891</v>
      </c>
      <c r="D190" t="s">
        <v>892</v>
      </c>
      <c r="E190">
        <v>919075</v>
      </c>
      <c r="F190">
        <v>8</v>
      </c>
      <c r="G190">
        <v>90</v>
      </c>
      <c r="H190">
        <v>6</v>
      </c>
      <c r="I190">
        <v>88</v>
      </c>
      <c r="J190" t="s">
        <v>834</v>
      </c>
      <c r="K190" t="s">
        <v>893</v>
      </c>
      <c r="O190" t="str">
        <f t="shared" si="2"/>
        <v>EPL</v>
      </c>
    </row>
    <row r="191" spans="1:15">
      <c r="A191">
        <v>17</v>
      </c>
      <c r="B191" t="s">
        <v>834</v>
      </c>
      <c r="C191" t="s">
        <v>891</v>
      </c>
      <c r="D191" t="s">
        <v>892</v>
      </c>
      <c r="E191">
        <v>919076</v>
      </c>
      <c r="F191">
        <v>8</v>
      </c>
      <c r="G191">
        <v>11</v>
      </c>
      <c r="H191">
        <v>8</v>
      </c>
      <c r="I191">
        <v>37</v>
      </c>
      <c r="J191" t="s">
        <v>834</v>
      </c>
      <c r="K191" t="s">
        <v>893</v>
      </c>
      <c r="O191" t="str">
        <f t="shared" si="2"/>
        <v>EPL</v>
      </c>
    </row>
    <row r="192" spans="1:15">
      <c r="A192">
        <v>17</v>
      </c>
      <c r="B192" t="s">
        <v>834</v>
      </c>
      <c r="C192" t="s">
        <v>891</v>
      </c>
      <c r="D192" t="s">
        <v>892</v>
      </c>
      <c r="E192">
        <v>919090</v>
      </c>
      <c r="F192">
        <v>8</v>
      </c>
      <c r="G192">
        <v>6</v>
      </c>
      <c r="H192">
        <v>20</v>
      </c>
      <c r="I192">
        <v>5</v>
      </c>
      <c r="J192" t="s">
        <v>834</v>
      </c>
      <c r="K192" t="s">
        <v>894</v>
      </c>
      <c r="O192" t="str">
        <f t="shared" si="2"/>
        <v>EPL</v>
      </c>
    </row>
    <row r="193" spans="1:15">
      <c r="A193">
        <v>17</v>
      </c>
      <c r="B193" t="s">
        <v>834</v>
      </c>
      <c r="C193" t="s">
        <v>891</v>
      </c>
      <c r="D193" t="s">
        <v>892</v>
      </c>
      <c r="E193">
        <v>919089</v>
      </c>
      <c r="F193">
        <v>8</v>
      </c>
      <c r="G193">
        <v>4</v>
      </c>
      <c r="H193">
        <v>43</v>
      </c>
      <c r="I193">
        <v>31</v>
      </c>
      <c r="J193" t="s">
        <v>834</v>
      </c>
      <c r="K193" t="s">
        <v>894</v>
      </c>
      <c r="O193" t="str">
        <f t="shared" si="2"/>
        <v>EPL</v>
      </c>
    </row>
    <row r="194" spans="1:15">
      <c r="A194">
        <v>17</v>
      </c>
      <c r="B194" t="s">
        <v>834</v>
      </c>
      <c r="C194" t="s">
        <v>891</v>
      </c>
      <c r="D194" t="s">
        <v>892</v>
      </c>
      <c r="E194">
        <v>919092</v>
      </c>
      <c r="F194">
        <v>8</v>
      </c>
      <c r="G194">
        <v>35</v>
      </c>
      <c r="H194">
        <v>11</v>
      </c>
      <c r="I194">
        <v>51</v>
      </c>
      <c r="J194" t="s">
        <v>834</v>
      </c>
      <c r="K194" t="s">
        <v>894</v>
      </c>
      <c r="O194" t="str">
        <f t="shared" si="2"/>
        <v>EPL</v>
      </c>
    </row>
    <row r="195" spans="1:15">
      <c r="A195">
        <v>17</v>
      </c>
      <c r="B195" t="s">
        <v>834</v>
      </c>
      <c r="C195" t="s">
        <v>891</v>
      </c>
      <c r="D195" t="s">
        <v>892</v>
      </c>
      <c r="E195">
        <v>919088</v>
      </c>
      <c r="F195">
        <v>8</v>
      </c>
      <c r="G195">
        <v>1</v>
      </c>
      <c r="H195">
        <v>90</v>
      </c>
      <c r="I195">
        <v>28</v>
      </c>
      <c r="J195" t="s">
        <v>834</v>
      </c>
      <c r="K195" t="s">
        <v>894</v>
      </c>
      <c r="O195" t="str">
        <f t="shared" ref="O195:O258" si="3">VLOOKUP(F195,$Q$3:$R$9,2,0)</f>
        <v>EPL</v>
      </c>
    </row>
    <row r="196" spans="1:15">
      <c r="A196">
        <v>17</v>
      </c>
      <c r="B196" t="s">
        <v>834</v>
      </c>
      <c r="C196" t="s">
        <v>891</v>
      </c>
      <c r="D196" t="s">
        <v>892</v>
      </c>
      <c r="E196">
        <v>919091</v>
      </c>
      <c r="F196">
        <v>8</v>
      </c>
      <c r="G196">
        <v>57</v>
      </c>
      <c r="H196">
        <v>13</v>
      </c>
      <c r="I196">
        <v>73</v>
      </c>
      <c r="J196" t="s">
        <v>834</v>
      </c>
      <c r="K196" t="s">
        <v>894</v>
      </c>
      <c r="O196" t="str">
        <f t="shared" si="3"/>
        <v>EPL</v>
      </c>
    </row>
    <row r="197" spans="1:15">
      <c r="A197">
        <v>17</v>
      </c>
      <c r="B197" t="s">
        <v>834</v>
      </c>
      <c r="C197" t="s">
        <v>891</v>
      </c>
      <c r="D197" t="s">
        <v>892</v>
      </c>
      <c r="E197">
        <v>919085</v>
      </c>
      <c r="F197">
        <v>8</v>
      </c>
      <c r="G197">
        <v>31</v>
      </c>
      <c r="H197">
        <v>3</v>
      </c>
      <c r="I197">
        <v>48</v>
      </c>
      <c r="J197" t="s">
        <v>834</v>
      </c>
      <c r="K197" t="s">
        <v>894</v>
      </c>
      <c r="O197" t="str">
        <f t="shared" si="3"/>
        <v>EPL</v>
      </c>
    </row>
    <row r="198" spans="1:15">
      <c r="A198">
        <v>17</v>
      </c>
      <c r="B198" t="s">
        <v>834</v>
      </c>
      <c r="C198" t="s">
        <v>891</v>
      </c>
      <c r="D198" t="s">
        <v>892</v>
      </c>
      <c r="E198">
        <v>919083</v>
      </c>
      <c r="F198">
        <v>8</v>
      </c>
      <c r="G198">
        <v>91</v>
      </c>
      <c r="H198">
        <v>21</v>
      </c>
      <c r="I198">
        <v>2734</v>
      </c>
      <c r="J198" t="s">
        <v>834</v>
      </c>
      <c r="K198" t="s">
        <v>894</v>
      </c>
      <c r="O198" t="str">
        <f t="shared" si="3"/>
        <v>EPL</v>
      </c>
    </row>
    <row r="199" spans="1:15">
      <c r="A199">
        <v>17</v>
      </c>
      <c r="B199" t="s">
        <v>834</v>
      </c>
      <c r="C199" t="s">
        <v>891</v>
      </c>
      <c r="D199" t="s">
        <v>892</v>
      </c>
      <c r="E199">
        <v>919084</v>
      </c>
      <c r="F199">
        <v>8</v>
      </c>
      <c r="G199">
        <v>8</v>
      </c>
      <c r="H199">
        <v>36</v>
      </c>
      <c r="I199">
        <v>35</v>
      </c>
      <c r="J199" t="s">
        <v>834</v>
      </c>
      <c r="K199" t="s">
        <v>894</v>
      </c>
      <c r="O199" t="str">
        <f t="shared" si="3"/>
        <v>EPL</v>
      </c>
    </row>
    <row r="200" spans="1:15">
      <c r="A200">
        <v>17</v>
      </c>
      <c r="B200" t="s">
        <v>834</v>
      </c>
      <c r="C200" t="s">
        <v>891</v>
      </c>
      <c r="D200" t="s">
        <v>892</v>
      </c>
      <c r="E200">
        <v>919086</v>
      </c>
      <c r="F200">
        <v>8</v>
      </c>
      <c r="G200">
        <v>38</v>
      </c>
      <c r="H200">
        <v>110</v>
      </c>
      <c r="I200">
        <v>54</v>
      </c>
      <c r="J200" t="s">
        <v>834</v>
      </c>
      <c r="K200" t="s">
        <v>894</v>
      </c>
      <c r="O200" t="str">
        <f t="shared" si="3"/>
        <v>EPL</v>
      </c>
    </row>
    <row r="201" spans="1:15">
      <c r="A201">
        <v>17</v>
      </c>
      <c r="B201" t="s">
        <v>834</v>
      </c>
      <c r="C201" t="s">
        <v>891</v>
      </c>
      <c r="D201" t="s">
        <v>892</v>
      </c>
      <c r="E201">
        <v>919087</v>
      </c>
      <c r="F201">
        <v>8</v>
      </c>
      <c r="G201">
        <v>14</v>
      </c>
      <c r="H201">
        <v>80</v>
      </c>
      <c r="I201">
        <v>39</v>
      </c>
      <c r="J201" t="s">
        <v>834</v>
      </c>
      <c r="K201" t="s">
        <v>894</v>
      </c>
      <c r="O201" t="str">
        <f t="shared" si="3"/>
        <v>EPL</v>
      </c>
    </row>
    <row r="202" spans="1:15">
      <c r="A202">
        <v>18</v>
      </c>
      <c r="B202" t="s">
        <v>834</v>
      </c>
      <c r="C202" t="s">
        <v>895</v>
      </c>
      <c r="D202" t="s">
        <v>896</v>
      </c>
      <c r="E202">
        <v>919099</v>
      </c>
      <c r="F202">
        <v>8</v>
      </c>
      <c r="G202">
        <v>4</v>
      </c>
      <c r="H202">
        <v>36</v>
      </c>
      <c r="I202">
        <v>31</v>
      </c>
      <c r="J202" t="s">
        <v>834</v>
      </c>
      <c r="K202" t="s">
        <v>897</v>
      </c>
      <c r="O202" t="str">
        <f t="shared" si="3"/>
        <v>EPL</v>
      </c>
    </row>
    <row r="203" spans="1:15">
      <c r="A203">
        <v>18</v>
      </c>
      <c r="B203" t="s">
        <v>834</v>
      </c>
      <c r="C203" t="s">
        <v>895</v>
      </c>
      <c r="D203" t="s">
        <v>896</v>
      </c>
      <c r="E203">
        <v>919100</v>
      </c>
      <c r="F203">
        <v>8</v>
      </c>
      <c r="G203">
        <v>6</v>
      </c>
      <c r="H203">
        <v>21</v>
      </c>
      <c r="I203">
        <v>5</v>
      </c>
      <c r="J203" t="s">
        <v>834</v>
      </c>
      <c r="K203" t="s">
        <v>897</v>
      </c>
      <c r="O203" t="str">
        <f t="shared" si="3"/>
        <v>EPL</v>
      </c>
    </row>
    <row r="204" spans="1:15">
      <c r="A204">
        <v>18</v>
      </c>
      <c r="B204" t="s">
        <v>834</v>
      </c>
      <c r="C204" t="s">
        <v>895</v>
      </c>
      <c r="D204" t="s">
        <v>896</v>
      </c>
      <c r="E204">
        <v>919101</v>
      </c>
      <c r="F204">
        <v>8</v>
      </c>
      <c r="G204">
        <v>57</v>
      </c>
      <c r="H204">
        <v>80</v>
      </c>
      <c r="I204">
        <v>73</v>
      </c>
      <c r="J204" t="s">
        <v>834</v>
      </c>
      <c r="K204" t="s">
        <v>897</v>
      </c>
      <c r="O204" t="str">
        <f t="shared" si="3"/>
        <v>EPL</v>
      </c>
    </row>
    <row r="205" spans="1:15">
      <c r="A205">
        <v>18</v>
      </c>
      <c r="B205" t="s">
        <v>834</v>
      </c>
      <c r="C205" t="s">
        <v>895</v>
      </c>
      <c r="D205" t="s">
        <v>896</v>
      </c>
      <c r="E205">
        <v>919093</v>
      </c>
      <c r="F205">
        <v>8</v>
      </c>
      <c r="G205">
        <v>91</v>
      </c>
      <c r="H205">
        <v>11</v>
      </c>
      <c r="I205">
        <v>2734</v>
      </c>
      <c r="J205" t="s">
        <v>834</v>
      </c>
      <c r="K205" t="s">
        <v>897</v>
      </c>
      <c r="O205" t="str">
        <f t="shared" si="3"/>
        <v>EPL</v>
      </c>
    </row>
    <row r="206" spans="1:15">
      <c r="A206">
        <v>18</v>
      </c>
      <c r="B206" t="s">
        <v>834</v>
      </c>
      <c r="C206" t="s">
        <v>895</v>
      </c>
      <c r="D206" t="s">
        <v>896</v>
      </c>
      <c r="E206">
        <v>919098</v>
      </c>
      <c r="F206">
        <v>8</v>
      </c>
      <c r="G206">
        <v>1</v>
      </c>
      <c r="H206">
        <v>20</v>
      </c>
      <c r="I206">
        <v>28</v>
      </c>
      <c r="J206" t="s">
        <v>834</v>
      </c>
      <c r="K206" t="s">
        <v>897</v>
      </c>
      <c r="O206" t="str">
        <f t="shared" si="3"/>
        <v>EPL</v>
      </c>
    </row>
    <row r="207" spans="1:15">
      <c r="A207">
        <v>18</v>
      </c>
      <c r="B207" t="s">
        <v>834</v>
      </c>
      <c r="C207" t="s">
        <v>895</v>
      </c>
      <c r="D207" t="s">
        <v>896</v>
      </c>
      <c r="E207">
        <v>919102</v>
      </c>
      <c r="F207">
        <v>8</v>
      </c>
      <c r="G207">
        <v>35</v>
      </c>
      <c r="H207">
        <v>3</v>
      </c>
      <c r="I207">
        <v>51</v>
      </c>
      <c r="J207" t="s">
        <v>834</v>
      </c>
      <c r="K207" t="s">
        <v>897</v>
      </c>
      <c r="O207" t="str">
        <f t="shared" si="3"/>
        <v>EPL</v>
      </c>
    </row>
    <row r="208" spans="1:15">
      <c r="A208">
        <v>18</v>
      </c>
      <c r="B208" t="s">
        <v>834</v>
      </c>
      <c r="C208" t="s">
        <v>895</v>
      </c>
      <c r="D208" t="s">
        <v>896</v>
      </c>
      <c r="E208">
        <v>919094</v>
      </c>
      <c r="F208">
        <v>8</v>
      </c>
      <c r="G208">
        <v>8</v>
      </c>
      <c r="H208">
        <v>110</v>
      </c>
      <c r="I208">
        <v>35</v>
      </c>
      <c r="J208" t="s">
        <v>834</v>
      </c>
      <c r="K208" t="s">
        <v>897</v>
      </c>
      <c r="O208" t="str">
        <f t="shared" si="3"/>
        <v>EPL</v>
      </c>
    </row>
    <row r="209" spans="1:15">
      <c r="A209">
        <v>18</v>
      </c>
      <c r="B209" t="s">
        <v>834</v>
      </c>
      <c r="C209" t="s">
        <v>895</v>
      </c>
      <c r="D209" t="s">
        <v>896</v>
      </c>
      <c r="E209">
        <v>919097</v>
      </c>
      <c r="F209">
        <v>8</v>
      </c>
      <c r="G209">
        <v>14</v>
      </c>
      <c r="H209">
        <v>13</v>
      </c>
      <c r="I209">
        <v>39</v>
      </c>
      <c r="J209" t="s">
        <v>834</v>
      </c>
      <c r="K209" t="s">
        <v>897</v>
      </c>
      <c r="O209" t="str">
        <f t="shared" si="3"/>
        <v>EPL</v>
      </c>
    </row>
    <row r="210" spans="1:15">
      <c r="A210">
        <v>18</v>
      </c>
      <c r="B210" t="s">
        <v>834</v>
      </c>
      <c r="C210" t="s">
        <v>895</v>
      </c>
      <c r="D210" t="s">
        <v>896</v>
      </c>
      <c r="E210">
        <v>919095</v>
      </c>
      <c r="F210">
        <v>8</v>
      </c>
      <c r="G210">
        <v>31</v>
      </c>
      <c r="H210">
        <v>43</v>
      </c>
      <c r="I210">
        <v>48</v>
      </c>
      <c r="J210" t="s">
        <v>834</v>
      </c>
      <c r="K210" t="s">
        <v>897</v>
      </c>
      <c r="O210" t="str">
        <f t="shared" si="3"/>
        <v>EPL</v>
      </c>
    </row>
    <row r="211" spans="1:15">
      <c r="A211">
        <v>18</v>
      </c>
      <c r="B211" t="s">
        <v>834</v>
      </c>
      <c r="C211" t="s">
        <v>895</v>
      </c>
      <c r="D211" t="s">
        <v>896</v>
      </c>
      <c r="E211">
        <v>919096</v>
      </c>
      <c r="F211">
        <v>8</v>
      </c>
      <c r="G211">
        <v>38</v>
      </c>
      <c r="H211">
        <v>90</v>
      </c>
      <c r="I211">
        <v>54</v>
      </c>
      <c r="J211" t="s">
        <v>834</v>
      </c>
      <c r="K211" t="s">
        <v>897</v>
      </c>
      <c r="O211" t="str">
        <f t="shared" si="3"/>
        <v>EPL</v>
      </c>
    </row>
    <row r="212" spans="1:15">
      <c r="A212">
        <v>18</v>
      </c>
      <c r="B212" t="s">
        <v>834</v>
      </c>
      <c r="C212" t="s">
        <v>895</v>
      </c>
      <c r="D212" t="s">
        <v>896</v>
      </c>
      <c r="E212">
        <v>919110</v>
      </c>
      <c r="F212">
        <v>8</v>
      </c>
      <c r="G212">
        <v>110</v>
      </c>
      <c r="H212">
        <v>4</v>
      </c>
      <c r="I212">
        <v>1</v>
      </c>
      <c r="J212" t="s">
        <v>834</v>
      </c>
      <c r="K212" t="s">
        <v>898</v>
      </c>
      <c r="O212" t="str">
        <f t="shared" si="3"/>
        <v>EPL</v>
      </c>
    </row>
    <row r="213" spans="1:15">
      <c r="A213">
        <v>18</v>
      </c>
      <c r="B213" t="s">
        <v>834</v>
      </c>
      <c r="C213" t="s">
        <v>895</v>
      </c>
      <c r="D213" t="s">
        <v>896</v>
      </c>
      <c r="E213">
        <v>919109</v>
      </c>
      <c r="F213">
        <v>8</v>
      </c>
      <c r="G213">
        <v>20</v>
      </c>
      <c r="H213">
        <v>31</v>
      </c>
      <c r="I213">
        <v>2370</v>
      </c>
      <c r="J213" t="s">
        <v>834</v>
      </c>
      <c r="K213" t="s">
        <v>898</v>
      </c>
      <c r="O213" t="str">
        <f t="shared" si="3"/>
        <v>EPL</v>
      </c>
    </row>
    <row r="214" spans="1:15">
      <c r="A214">
        <v>18</v>
      </c>
      <c r="B214" t="s">
        <v>834</v>
      </c>
      <c r="C214" t="s">
        <v>895</v>
      </c>
      <c r="D214" t="s">
        <v>896</v>
      </c>
      <c r="E214">
        <v>919112</v>
      </c>
      <c r="F214">
        <v>8</v>
      </c>
      <c r="G214">
        <v>21</v>
      </c>
      <c r="H214">
        <v>35</v>
      </c>
      <c r="I214">
        <v>11249</v>
      </c>
      <c r="J214" t="s">
        <v>834</v>
      </c>
      <c r="K214" t="s">
        <v>898</v>
      </c>
      <c r="O214" t="str">
        <f t="shared" si="3"/>
        <v>EPL</v>
      </c>
    </row>
    <row r="215" spans="1:15">
      <c r="A215">
        <v>18</v>
      </c>
      <c r="B215" t="s">
        <v>834</v>
      </c>
      <c r="C215" t="s">
        <v>895</v>
      </c>
      <c r="D215" t="s">
        <v>896</v>
      </c>
      <c r="E215">
        <v>919108</v>
      </c>
      <c r="F215">
        <v>8</v>
      </c>
      <c r="G215">
        <v>43</v>
      </c>
      <c r="H215">
        <v>57</v>
      </c>
      <c r="I215">
        <v>2691</v>
      </c>
      <c r="J215" t="s">
        <v>834</v>
      </c>
      <c r="K215" t="s">
        <v>898</v>
      </c>
      <c r="O215" t="str">
        <f t="shared" si="3"/>
        <v>EPL</v>
      </c>
    </row>
    <row r="216" spans="1:15">
      <c r="A216">
        <v>18</v>
      </c>
      <c r="B216" t="s">
        <v>834</v>
      </c>
      <c r="C216" t="s">
        <v>895</v>
      </c>
      <c r="D216" t="s">
        <v>896</v>
      </c>
      <c r="E216">
        <v>919111</v>
      </c>
      <c r="F216">
        <v>8</v>
      </c>
      <c r="G216">
        <v>80</v>
      </c>
      <c r="H216">
        <v>6</v>
      </c>
      <c r="I216">
        <v>2867</v>
      </c>
      <c r="J216" t="s">
        <v>834</v>
      </c>
      <c r="K216" t="s">
        <v>898</v>
      </c>
      <c r="O216" t="str">
        <f t="shared" si="3"/>
        <v>EPL</v>
      </c>
    </row>
    <row r="217" spans="1:15">
      <c r="A217">
        <v>18</v>
      </c>
      <c r="B217" t="s">
        <v>834</v>
      </c>
      <c r="C217" t="s">
        <v>895</v>
      </c>
      <c r="D217" t="s">
        <v>896</v>
      </c>
      <c r="E217">
        <v>919105</v>
      </c>
      <c r="F217">
        <v>8</v>
      </c>
      <c r="G217">
        <v>90</v>
      </c>
      <c r="H217">
        <v>14</v>
      </c>
      <c r="I217">
        <v>88</v>
      </c>
      <c r="J217" t="s">
        <v>834</v>
      </c>
      <c r="K217" t="s">
        <v>898</v>
      </c>
      <c r="O217" t="str">
        <f t="shared" si="3"/>
        <v>EPL</v>
      </c>
    </row>
    <row r="218" spans="1:15">
      <c r="A218">
        <v>18</v>
      </c>
      <c r="B218" t="s">
        <v>834</v>
      </c>
      <c r="C218" t="s">
        <v>895</v>
      </c>
      <c r="D218" t="s">
        <v>896</v>
      </c>
      <c r="E218">
        <v>919103</v>
      </c>
      <c r="F218">
        <v>8</v>
      </c>
      <c r="G218">
        <v>3</v>
      </c>
      <c r="H218">
        <v>8</v>
      </c>
      <c r="I218">
        <v>3250</v>
      </c>
      <c r="J218" t="s">
        <v>834</v>
      </c>
      <c r="K218" t="s">
        <v>898</v>
      </c>
      <c r="O218" t="str">
        <f t="shared" si="3"/>
        <v>EPL</v>
      </c>
    </row>
    <row r="219" spans="1:15">
      <c r="A219">
        <v>18</v>
      </c>
      <c r="B219" t="s">
        <v>834</v>
      </c>
      <c r="C219" t="s">
        <v>895</v>
      </c>
      <c r="D219" t="s">
        <v>896</v>
      </c>
      <c r="E219">
        <v>919104</v>
      </c>
      <c r="F219">
        <v>8</v>
      </c>
      <c r="G219">
        <v>36</v>
      </c>
      <c r="H219">
        <v>91</v>
      </c>
      <c r="I219">
        <v>7403</v>
      </c>
      <c r="J219" t="s">
        <v>834</v>
      </c>
      <c r="K219" t="s">
        <v>898</v>
      </c>
      <c r="O219" t="str">
        <f t="shared" si="3"/>
        <v>EPL</v>
      </c>
    </row>
    <row r="220" spans="1:15">
      <c r="A220">
        <v>18</v>
      </c>
      <c r="B220" t="s">
        <v>834</v>
      </c>
      <c r="C220" t="s">
        <v>895</v>
      </c>
      <c r="D220" t="s">
        <v>896</v>
      </c>
      <c r="E220">
        <v>919106</v>
      </c>
      <c r="F220">
        <v>8</v>
      </c>
      <c r="G220">
        <v>11</v>
      </c>
      <c r="H220">
        <v>1</v>
      </c>
      <c r="I220">
        <v>37</v>
      </c>
      <c r="J220" t="s">
        <v>834</v>
      </c>
      <c r="K220" t="s">
        <v>898</v>
      </c>
      <c r="O220" t="str">
        <f t="shared" si="3"/>
        <v>EPL</v>
      </c>
    </row>
    <row r="221" spans="1:15">
      <c r="A221">
        <v>18</v>
      </c>
      <c r="B221" t="s">
        <v>834</v>
      </c>
      <c r="C221" t="s">
        <v>895</v>
      </c>
      <c r="D221" t="s">
        <v>896</v>
      </c>
      <c r="E221">
        <v>919107</v>
      </c>
      <c r="F221">
        <v>8</v>
      </c>
      <c r="G221">
        <v>13</v>
      </c>
      <c r="H221">
        <v>38</v>
      </c>
      <c r="I221">
        <v>2516</v>
      </c>
      <c r="J221" t="s">
        <v>834</v>
      </c>
      <c r="K221" t="s">
        <v>898</v>
      </c>
      <c r="O221" t="str">
        <f t="shared" si="3"/>
        <v>EPL</v>
      </c>
    </row>
    <row r="222" spans="1:15">
      <c r="A222">
        <v>20</v>
      </c>
      <c r="B222" t="s">
        <v>834</v>
      </c>
      <c r="C222" t="s">
        <v>899</v>
      </c>
      <c r="D222" t="s">
        <v>900</v>
      </c>
      <c r="E222">
        <v>919119</v>
      </c>
      <c r="F222">
        <v>8</v>
      </c>
      <c r="G222">
        <v>4</v>
      </c>
      <c r="H222">
        <v>80</v>
      </c>
      <c r="I222">
        <v>31</v>
      </c>
      <c r="J222" t="s">
        <v>834</v>
      </c>
      <c r="K222" t="s">
        <v>901</v>
      </c>
      <c r="O222" t="str">
        <f t="shared" si="3"/>
        <v>EPL</v>
      </c>
    </row>
    <row r="223" spans="1:15">
      <c r="A223">
        <v>20</v>
      </c>
      <c r="B223" t="s">
        <v>834</v>
      </c>
      <c r="C223" t="s">
        <v>899</v>
      </c>
      <c r="D223" t="s">
        <v>900</v>
      </c>
      <c r="E223">
        <v>919120</v>
      </c>
      <c r="F223">
        <v>8</v>
      </c>
      <c r="G223">
        <v>6</v>
      </c>
      <c r="H223">
        <v>11</v>
      </c>
      <c r="I223">
        <v>5</v>
      </c>
      <c r="J223" t="s">
        <v>834</v>
      </c>
      <c r="K223" t="s">
        <v>901</v>
      </c>
      <c r="O223" t="str">
        <f t="shared" si="3"/>
        <v>EPL</v>
      </c>
    </row>
    <row r="224" spans="1:15">
      <c r="A224">
        <v>20</v>
      </c>
      <c r="B224" t="s">
        <v>834</v>
      </c>
      <c r="C224" t="s">
        <v>899</v>
      </c>
      <c r="D224" t="s">
        <v>900</v>
      </c>
      <c r="E224">
        <v>919121</v>
      </c>
      <c r="F224">
        <v>8</v>
      </c>
      <c r="G224">
        <v>57</v>
      </c>
      <c r="H224">
        <v>20</v>
      </c>
      <c r="I224">
        <v>73</v>
      </c>
      <c r="J224" t="s">
        <v>834</v>
      </c>
      <c r="K224" t="s">
        <v>901</v>
      </c>
      <c r="O224" t="str">
        <f t="shared" si="3"/>
        <v>EPL</v>
      </c>
    </row>
    <row r="225" spans="1:15">
      <c r="A225">
        <v>20</v>
      </c>
      <c r="B225" t="s">
        <v>834</v>
      </c>
      <c r="C225" t="s">
        <v>899</v>
      </c>
      <c r="D225" t="s">
        <v>900</v>
      </c>
      <c r="E225">
        <v>919122</v>
      </c>
      <c r="F225">
        <v>8</v>
      </c>
      <c r="G225">
        <v>35</v>
      </c>
      <c r="H225">
        <v>36</v>
      </c>
      <c r="I225">
        <v>51</v>
      </c>
      <c r="J225" t="s">
        <v>834</v>
      </c>
      <c r="K225" t="s">
        <v>901</v>
      </c>
      <c r="O225" t="str">
        <f t="shared" si="3"/>
        <v>EPL</v>
      </c>
    </row>
    <row r="226" spans="1:15">
      <c r="A226">
        <v>20</v>
      </c>
      <c r="B226" t="s">
        <v>834</v>
      </c>
      <c r="C226" t="s">
        <v>899</v>
      </c>
      <c r="D226" t="s">
        <v>900</v>
      </c>
      <c r="E226">
        <v>919118</v>
      </c>
      <c r="F226">
        <v>8</v>
      </c>
      <c r="G226">
        <v>1</v>
      </c>
      <c r="H226">
        <v>110</v>
      </c>
      <c r="I226">
        <v>28</v>
      </c>
      <c r="J226" t="s">
        <v>834</v>
      </c>
      <c r="K226" t="s">
        <v>901</v>
      </c>
      <c r="O226" t="str">
        <f t="shared" si="3"/>
        <v>EPL</v>
      </c>
    </row>
    <row r="227" spans="1:15">
      <c r="A227">
        <v>20</v>
      </c>
      <c r="B227" t="s">
        <v>834</v>
      </c>
      <c r="C227" t="s">
        <v>899</v>
      </c>
      <c r="D227" t="s">
        <v>900</v>
      </c>
      <c r="E227">
        <v>919117</v>
      </c>
      <c r="F227">
        <v>8</v>
      </c>
      <c r="G227">
        <v>14</v>
      </c>
      <c r="H227">
        <v>43</v>
      </c>
      <c r="I227">
        <v>39</v>
      </c>
      <c r="J227" t="s">
        <v>834</v>
      </c>
      <c r="K227" t="s">
        <v>901</v>
      </c>
      <c r="O227" t="str">
        <f t="shared" si="3"/>
        <v>EPL</v>
      </c>
    </row>
    <row r="228" spans="1:15">
      <c r="A228">
        <v>20</v>
      </c>
      <c r="B228" t="s">
        <v>834</v>
      </c>
      <c r="C228" t="s">
        <v>899</v>
      </c>
      <c r="D228" t="s">
        <v>900</v>
      </c>
      <c r="E228">
        <v>919114</v>
      </c>
      <c r="F228">
        <v>8</v>
      </c>
      <c r="G228">
        <v>8</v>
      </c>
      <c r="H228">
        <v>13</v>
      </c>
      <c r="I228">
        <v>35</v>
      </c>
      <c r="J228" t="s">
        <v>834</v>
      </c>
      <c r="K228" t="s">
        <v>901</v>
      </c>
      <c r="O228" t="str">
        <f t="shared" si="3"/>
        <v>EPL</v>
      </c>
    </row>
    <row r="229" spans="1:15">
      <c r="A229">
        <v>20</v>
      </c>
      <c r="B229" t="s">
        <v>834</v>
      </c>
      <c r="C229" t="s">
        <v>899</v>
      </c>
      <c r="D229" t="s">
        <v>900</v>
      </c>
      <c r="E229">
        <v>919115</v>
      </c>
      <c r="F229">
        <v>8</v>
      </c>
      <c r="G229">
        <v>31</v>
      </c>
      <c r="H229">
        <v>90</v>
      </c>
      <c r="I229">
        <v>48</v>
      </c>
      <c r="J229" t="s">
        <v>834</v>
      </c>
      <c r="K229" t="s">
        <v>901</v>
      </c>
      <c r="O229" t="str">
        <f t="shared" si="3"/>
        <v>EPL</v>
      </c>
    </row>
    <row r="230" spans="1:15">
      <c r="A230">
        <v>20</v>
      </c>
      <c r="B230" t="s">
        <v>834</v>
      </c>
      <c r="C230" t="s">
        <v>899</v>
      </c>
      <c r="D230" t="s">
        <v>900</v>
      </c>
      <c r="E230">
        <v>919116</v>
      </c>
      <c r="F230">
        <v>8</v>
      </c>
      <c r="G230">
        <v>38</v>
      </c>
      <c r="H230">
        <v>21</v>
      </c>
      <c r="I230">
        <v>54</v>
      </c>
      <c r="J230" t="s">
        <v>834</v>
      </c>
      <c r="K230" t="s">
        <v>901</v>
      </c>
      <c r="O230" t="str">
        <f t="shared" si="3"/>
        <v>EPL</v>
      </c>
    </row>
    <row r="231" spans="1:15">
      <c r="A231">
        <v>20</v>
      </c>
      <c r="B231" t="s">
        <v>834</v>
      </c>
      <c r="C231" t="s">
        <v>899</v>
      </c>
      <c r="D231" t="s">
        <v>900</v>
      </c>
      <c r="E231">
        <v>919113</v>
      </c>
      <c r="F231">
        <v>8</v>
      </c>
      <c r="G231">
        <v>91</v>
      </c>
      <c r="H231">
        <v>3</v>
      </c>
      <c r="I231">
        <v>2734</v>
      </c>
      <c r="J231" t="s">
        <v>834</v>
      </c>
      <c r="K231" t="s">
        <v>901</v>
      </c>
      <c r="O231" t="str">
        <f t="shared" si="3"/>
        <v>EPL</v>
      </c>
    </row>
    <row r="232" spans="1:15">
      <c r="A232">
        <v>21</v>
      </c>
      <c r="B232" t="s">
        <v>834</v>
      </c>
      <c r="C232" t="s">
        <v>902</v>
      </c>
      <c r="D232" t="s">
        <v>903</v>
      </c>
      <c r="E232">
        <v>919129</v>
      </c>
      <c r="F232">
        <v>8</v>
      </c>
      <c r="G232">
        <v>20</v>
      </c>
      <c r="H232">
        <v>6</v>
      </c>
      <c r="I232">
        <v>2370</v>
      </c>
      <c r="J232" t="s">
        <v>834</v>
      </c>
      <c r="K232" t="s">
        <v>904</v>
      </c>
      <c r="O232" t="str">
        <f t="shared" si="3"/>
        <v>EPL</v>
      </c>
    </row>
    <row r="233" spans="1:15">
      <c r="A233">
        <v>21</v>
      </c>
      <c r="B233" t="s">
        <v>834</v>
      </c>
      <c r="C233" t="s">
        <v>902</v>
      </c>
      <c r="D233" t="s">
        <v>903</v>
      </c>
      <c r="E233">
        <v>919130</v>
      </c>
      <c r="F233">
        <v>8</v>
      </c>
      <c r="G233">
        <v>110</v>
      </c>
      <c r="H233">
        <v>38</v>
      </c>
      <c r="I233">
        <v>1</v>
      </c>
      <c r="J233" t="s">
        <v>834</v>
      </c>
      <c r="K233" t="s">
        <v>904</v>
      </c>
      <c r="O233" t="str">
        <f t="shared" si="3"/>
        <v>EPL</v>
      </c>
    </row>
    <row r="234" spans="1:15">
      <c r="A234">
        <v>21</v>
      </c>
      <c r="B234" t="s">
        <v>834</v>
      </c>
      <c r="C234" t="s">
        <v>902</v>
      </c>
      <c r="D234" t="s">
        <v>903</v>
      </c>
      <c r="E234">
        <v>919131</v>
      </c>
      <c r="F234">
        <v>8</v>
      </c>
      <c r="G234">
        <v>80</v>
      </c>
      <c r="H234">
        <v>14</v>
      </c>
      <c r="I234">
        <v>2867</v>
      </c>
      <c r="J234" t="s">
        <v>834</v>
      </c>
      <c r="K234" t="s">
        <v>904</v>
      </c>
      <c r="O234" t="str">
        <f t="shared" si="3"/>
        <v>EPL</v>
      </c>
    </row>
    <row r="235" spans="1:15">
      <c r="A235">
        <v>21</v>
      </c>
      <c r="B235" t="s">
        <v>834</v>
      </c>
      <c r="C235" t="s">
        <v>902</v>
      </c>
      <c r="D235" t="s">
        <v>903</v>
      </c>
      <c r="E235">
        <v>919132</v>
      </c>
      <c r="F235">
        <v>8</v>
      </c>
      <c r="G235">
        <v>21</v>
      </c>
      <c r="H235">
        <v>91</v>
      </c>
      <c r="I235">
        <v>11249</v>
      </c>
      <c r="J235" t="s">
        <v>834</v>
      </c>
      <c r="K235" t="s">
        <v>904</v>
      </c>
      <c r="O235" t="str">
        <f t="shared" si="3"/>
        <v>EPL</v>
      </c>
    </row>
    <row r="236" spans="1:15">
      <c r="A236">
        <v>21</v>
      </c>
      <c r="B236" t="s">
        <v>834</v>
      </c>
      <c r="C236" t="s">
        <v>902</v>
      </c>
      <c r="D236" t="s">
        <v>903</v>
      </c>
      <c r="E236">
        <v>919128</v>
      </c>
      <c r="F236">
        <v>8</v>
      </c>
      <c r="G236">
        <v>43</v>
      </c>
      <c r="H236">
        <v>4</v>
      </c>
      <c r="I236">
        <v>2691</v>
      </c>
      <c r="J236" t="s">
        <v>834</v>
      </c>
      <c r="K236" t="s">
        <v>904</v>
      </c>
      <c r="O236" t="str">
        <f t="shared" si="3"/>
        <v>EPL</v>
      </c>
    </row>
    <row r="237" spans="1:15">
      <c r="A237">
        <v>21</v>
      </c>
      <c r="B237" t="s">
        <v>834</v>
      </c>
      <c r="C237" t="s">
        <v>902</v>
      </c>
      <c r="D237" t="s">
        <v>903</v>
      </c>
      <c r="E237">
        <v>919127</v>
      </c>
      <c r="F237">
        <v>8</v>
      </c>
      <c r="G237">
        <v>13</v>
      </c>
      <c r="H237">
        <v>57</v>
      </c>
      <c r="I237">
        <v>2516</v>
      </c>
      <c r="J237" t="s">
        <v>834</v>
      </c>
      <c r="K237" t="s">
        <v>904</v>
      </c>
      <c r="O237" t="str">
        <f t="shared" si="3"/>
        <v>EPL</v>
      </c>
    </row>
    <row r="238" spans="1:15">
      <c r="A238">
        <v>21</v>
      </c>
      <c r="B238" t="s">
        <v>834</v>
      </c>
      <c r="C238" t="s">
        <v>902</v>
      </c>
      <c r="D238" t="s">
        <v>903</v>
      </c>
      <c r="E238">
        <v>919124</v>
      </c>
      <c r="F238">
        <v>8</v>
      </c>
      <c r="G238">
        <v>36</v>
      </c>
      <c r="H238">
        <v>8</v>
      </c>
      <c r="I238">
        <v>7403</v>
      </c>
      <c r="J238" t="s">
        <v>834</v>
      </c>
      <c r="K238" t="s">
        <v>904</v>
      </c>
      <c r="O238" t="str">
        <f t="shared" si="3"/>
        <v>EPL</v>
      </c>
    </row>
    <row r="239" spans="1:15">
      <c r="A239">
        <v>21</v>
      </c>
      <c r="B239" t="s">
        <v>834</v>
      </c>
      <c r="C239" t="s">
        <v>902</v>
      </c>
      <c r="D239" t="s">
        <v>903</v>
      </c>
      <c r="E239">
        <v>919125</v>
      </c>
      <c r="F239">
        <v>8</v>
      </c>
      <c r="G239">
        <v>90</v>
      </c>
      <c r="H239">
        <v>1</v>
      </c>
      <c r="I239">
        <v>88</v>
      </c>
      <c r="J239" t="s">
        <v>834</v>
      </c>
      <c r="K239" t="s">
        <v>904</v>
      </c>
      <c r="O239" t="str">
        <f t="shared" si="3"/>
        <v>EPL</v>
      </c>
    </row>
    <row r="240" spans="1:15">
      <c r="A240">
        <v>21</v>
      </c>
      <c r="B240" t="s">
        <v>834</v>
      </c>
      <c r="C240" t="s">
        <v>902</v>
      </c>
      <c r="D240" t="s">
        <v>903</v>
      </c>
      <c r="E240">
        <v>919126</v>
      </c>
      <c r="F240">
        <v>8</v>
      </c>
      <c r="G240">
        <v>11</v>
      </c>
      <c r="H240">
        <v>35</v>
      </c>
      <c r="I240">
        <v>37</v>
      </c>
      <c r="J240" t="s">
        <v>834</v>
      </c>
      <c r="K240" t="s">
        <v>904</v>
      </c>
      <c r="O240" t="str">
        <f t="shared" si="3"/>
        <v>EPL</v>
      </c>
    </row>
    <row r="241" spans="1:15">
      <c r="A241">
        <v>21</v>
      </c>
      <c r="B241" t="s">
        <v>834</v>
      </c>
      <c r="C241" t="s">
        <v>902</v>
      </c>
      <c r="D241" t="s">
        <v>903</v>
      </c>
      <c r="E241">
        <v>919123</v>
      </c>
      <c r="F241">
        <v>8</v>
      </c>
      <c r="G241">
        <v>3</v>
      </c>
      <c r="H241">
        <v>31</v>
      </c>
      <c r="I241">
        <v>3250</v>
      </c>
      <c r="J241" t="s">
        <v>834</v>
      </c>
      <c r="K241" t="s">
        <v>904</v>
      </c>
      <c r="O241" t="str">
        <f t="shared" si="3"/>
        <v>EPL</v>
      </c>
    </row>
    <row r="242" spans="1:15">
      <c r="A242">
        <v>22</v>
      </c>
      <c r="B242" t="s">
        <v>834</v>
      </c>
      <c r="C242" t="s">
        <v>905</v>
      </c>
      <c r="D242" t="s">
        <v>906</v>
      </c>
      <c r="E242">
        <v>919133</v>
      </c>
      <c r="F242">
        <v>8</v>
      </c>
      <c r="G242">
        <v>38</v>
      </c>
      <c r="H242">
        <v>14</v>
      </c>
      <c r="I242">
        <v>54</v>
      </c>
      <c r="J242" t="s">
        <v>834</v>
      </c>
      <c r="K242" t="s">
        <v>907</v>
      </c>
      <c r="O242" t="str">
        <f t="shared" si="3"/>
        <v>EPL</v>
      </c>
    </row>
    <row r="243" spans="1:15">
      <c r="A243">
        <v>22</v>
      </c>
      <c r="B243" t="s">
        <v>834</v>
      </c>
      <c r="C243" t="s">
        <v>905</v>
      </c>
      <c r="D243" t="s">
        <v>906</v>
      </c>
      <c r="E243">
        <v>919135</v>
      </c>
      <c r="F243">
        <v>8</v>
      </c>
      <c r="G243">
        <v>21</v>
      </c>
      <c r="H243">
        <v>31</v>
      </c>
      <c r="I243">
        <v>11249</v>
      </c>
      <c r="J243" t="s">
        <v>834</v>
      </c>
      <c r="K243" t="s">
        <v>907</v>
      </c>
      <c r="O243" t="str">
        <f t="shared" si="3"/>
        <v>EPL</v>
      </c>
    </row>
    <row r="244" spans="1:15">
      <c r="A244">
        <v>22</v>
      </c>
      <c r="B244" t="s">
        <v>834</v>
      </c>
      <c r="C244" t="s">
        <v>905</v>
      </c>
      <c r="D244" t="s">
        <v>906</v>
      </c>
      <c r="E244">
        <v>919134</v>
      </c>
      <c r="F244">
        <v>8</v>
      </c>
      <c r="G244">
        <v>80</v>
      </c>
      <c r="H244">
        <v>3</v>
      </c>
      <c r="I244">
        <v>2867</v>
      </c>
      <c r="J244" t="s">
        <v>834</v>
      </c>
      <c r="K244" t="s">
        <v>907</v>
      </c>
      <c r="O244" t="str">
        <f t="shared" si="3"/>
        <v>EPL</v>
      </c>
    </row>
    <row r="245" spans="1:15">
      <c r="A245">
        <v>22</v>
      </c>
      <c r="B245" t="s">
        <v>834</v>
      </c>
      <c r="C245" t="s">
        <v>905</v>
      </c>
      <c r="D245" t="s">
        <v>906</v>
      </c>
      <c r="E245">
        <v>919140</v>
      </c>
      <c r="F245">
        <v>8</v>
      </c>
      <c r="G245">
        <v>20</v>
      </c>
      <c r="H245">
        <v>36</v>
      </c>
      <c r="I245">
        <v>2370</v>
      </c>
      <c r="J245" t="s">
        <v>834</v>
      </c>
      <c r="K245" t="s">
        <v>908</v>
      </c>
      <c r="O245" t="str">
        <f t="shared" si="3"/>
        <v>EPL</v>
      </c>
    </row>
    <row r="246" spans="1:15">
      <c r="A246">
        <v>22</v>
      </c>
      <c r="B246" t="s">
        <v>834</v>
      </c>
      <c r="C246" t="s">
        <v>905</v>
      </c>
      <c r="D246" t="s">
        <v>906</v>
      </c>
      <c r="E246">
        <v>919139</v>
      </c>
      <c r="F246">
        <v>8</v>
      </c>
      <c r="G246">
        <v>4</v>
      </c>
      <c r="H246">
        <v>90</v>
      </c>
      <c r="I246">
        <v>31</v>
      </c>
      <c r="J246" t="s">
        <v>834</v>
      </c>
      <c r="K246" t="s">
        <v>908</v>
      </c>
      <c r="O246" t="str">
        <f t="shared" si="3"/>
        <v>EPL</v>
      </c>
    </row>
    <row r="247" spans="1:15">
      <c r="A247">
        <v>22</v>
      </c>
      <c r="B247" t="s">
        <v>834</v>
      </c>
      <c r="C247" t="s">
        <v>905</v>
      </c>
      <c r="D247" t="s">
        <v>906</v>
      </c>
      <c r="E247">
        <v>919137</v>
      </c>
      <c r="F247">
        <v>8</v>
      </c>
      <c r="G247">
        <v>11</v>
      </c>
      <c r="H247">
        <v>13</v>
      </c>
      <c r="I247">
        <v>37</v>
      </c>
      <c r="J247" t="s">
        <v>834</v>
      </c>
      <c r="K247" t="s">
        <v>908</v>
      </c>
      <c r="O247" t="str">
        <f t="shared" si="3"/>
        <v>EPL</v>
      </c>
    </row>
    <row r="248" spans="1:15">
      <c r="A248">
        <v>22</v>
      </c>
      <c r="B248" t="s">
        <v>834</v>
      </c>
      <c r="C248" t="s">
        <v>905</v>
      </c>
      <c r="D248" t="s">
        <v>906</v>
      </c>
      <c r="E248">
        <v>919136</v>
      </c>
      <c r="F248">
        <v>8</v>
      </c>
      <c r="G248">
        <v>8</v>
      </c>
      <c r="H248">
        <v>91</v>
      </c>
      <c r="I248">
        <v>35</v>
      </c>
      <c r="J248" t="s">
        <v>834</v>
      </c>
      <c r="K248" t="s">
        <v>908</v>
      </c>
      <c r="O248" t="str">
        <f t="shared" si="3"/>
        <v>EPL</v>
      </c>
    </row>
    <row r="249" spans="1:15">
      <c r="A249">
        <v>22</v>
      </c>
      <c r="B249" t="s">
        <v>834</v>
      </c>
      <c r="C249" t="s">
        <v>905</v>
      </c>
      <c r="D249" t="s">
        <v>906</v>
      </c>
      <c r="E249">
        <v>919142</v>
      </c>
      <c r="F249">
        <v>8</v>
      </c>
      <c r="G249">
        <v>6</v>
      </c>
      <c r="H249">
        <v>1</v>
      </c>
      <c r="I249">
        <v>5</v>
      </c>
      <c r="J249" t="s">
        <v>834</v>
      </c>
      <c r="K249" t="s">
        <v>909</v>
      </c>
      <c r="O249" t="str">
        <f t="shared" si="3"/>
        <v>EPL</v>
      </c>
    </row>
    <row r="250" spans="1:15">
      <c r="A250">
        <v>22</v>
      </c>
      <c r="B250" t="s">
        <v>834</v>
      </c>
      <c r="C250" t="s">
        <v>905</v>
      </c>
      <c r="D250" t="s">
        <v>906</v>
      </c>
      <c r="E250">
        <v>919141</v>
      </c>
      <c r="F250">
        <v>8</v>
      </c>
      <c r="G250">
        <v>110</v>
      </c>
      <c r="H250">
        <v>57</v>
      </c>
      <c r="I250">
        <v>1</v>
      </c>
      <c r="J250" t="s">
        <v>834</v>
      </c>
      <c r="K250" t="s">
        <v>909</v>
      </c>
      <c r="O250" t="str">
        <f t="shared" si="3"/>
        <v>EPL</v>
      </c>
    </row>
    <row r="251" spans="1:15">
      <c r="A251">
        <v>22</v>
      </c>
      <c r="B251" t="s">
        <v>834</v>
      </c>
      <c r="C251" t="s">
        <v>905</v>
      </c>
      <c r="D251" t="s">
        <v>906</v>
      </c>
      <c r="E251">
        <v>919138</v>
      </c>
      <c r="F251">
        <v>8</v>
      </c>
      <c r="G251">
        <v>43</v>
      </c>
      <c r="H251">
        <v>35</v>
      </c>
      <c r="I251">
        <v>2691</v>
      </c>
      <c r="J251" t="s">
        <v>834</v>
      </c>
      <c r="K251" t="s">
        <v>909</v>
      </c>
      <c r="O251" t="str">
        <f t="shared" si="3"/>
        <v>EPL</v>
      </c>
    </row>
    <row r="252" spans="1:15">
      <c r="A252">
        <v>23</v>
      </c>
      <c r="B252" t="s">
        <v>834</v>
      </c>
      <c r="C252" t="s">
        <v>910</v>
      </c>
      <c r="D252" t="s">
        <v>911</v>
      </c>
      <c r="E252">
        <v>919149</v>
      </c>
      <c r="F252">
        <v>8</v>
      </c>
      <c r="G252">
        <v>14</v>
      </c>
      <c r="H252">
        <v>6</v>
      </c>
      <c r="I252">
        <v>39</v>
      </c>
      <c r="J252" t="s">
        <v>834</v>
      </c>
      <c r="K252" t="s">
        <v>912</v>
      </c>
      <c r="O252" t="str">
        <f t="shared" si="3"/>
        <v>EPL</v>
      </c>
    </row>
    <row r="253" spans="1:15">
      <c r="A253">
        <v>23</v>
      </c>
      <c r="B253" t="s">
        <v>834</v>
      </c>
      <c r="C253" t="s">
        <v>910</v>
      </c>
      <c r="D253" t="s">
        <v>911</v>
      </c>
      <c r="E253">
        <v>919150</v>
      </c>
      <c r="F253">
        <v>8</v>
      </c>
      <c r="G253">
        <v>1</v>
      </c>
      <c r="H253">
        <v>38</v>
      </c>
      <c r="I253">
        <v>28</v>
      </c>
      <c r="J253" t="s">
        <v>834</v>
      </c>
      <c r="K253" t="s">
        <v>912</v>
      </c>
      <c r="O253" t="str">
        <f t="shared" si="3"/>
        <v>EPL</v>
      </c>
    </row>
    <row r="254" spans="1:15">
      <c r="A254">
        <v>23</v>
      </c>
      <c r="B254" t="s">
        <v>834</v>
      </c>
      <c r="C254" t="s">
        <v>910</v>
      </c>
      <c r="D254" t="s">
        <v>911</v>
      </c>
      <c r="E254">
        <v>919151</v>
      </c>
      <c r="F254">
        <v>8</v>
      </c>
      <c r="G254">
        <v>57</v>
      </c>
      <c r="H254">
        <v>8</v>
      </c>
      <c r="I254">
        <v>73</v>
      </c>
      <c r="J254" t="s">
        <v>834</v>
      </c>
      <c r="K254" t="s">
        <v>912</v>
      </c>
      <c r="O254" t="str">
        <f t="shared" si="3"/>
        <v>EPL</v>
      </c>
    </row>
    <row r="255" spans="1:15">
      <c r="A255">
        <v>23</v>
      </c>
      <c r="B255" t="s">
        <v>834</v>
      </c>
      <c r="C255" t="s">
        <v>910</v>
      </c>
      <c r="D255" t="s">
        <v>911</v>
      </c>
      <c r="E255">
        <v>919152</v>
      </c>
      <c r="F255">
        <v>8</v>
      </c>
      <c r="G255">
        <v>35</v>
      </c>
      <c r="H255">
        <v>20</v>
      </c>
      <c r="I255">
        <v>51</v>
      </c>
      <c r="J255" t="s">
        <v>834</v>
      </c>
      <c r="K255" t="s">
        <v>912</v>
      </c>
      <c r="O255" t="str">
        <f t="shared" si="3"/>
        <v>EPL</v>
      </c>
    </row>
    <row r="256" spans="1:15">
      <c r="A256">
        <v>23</v>
      </c>
      <c r="B256" t="s">
        <v>834</v>
      </c>
      <c r="C256" t="s">
        <v>910</v>
      </c>
      <c r="D256" t="s">
        <v>911</v>
      </c>
      <c r="E256">
        <v>919148</v>
      </c>
      <c r="F256">
        <v>8</v>
      </c>
      <c r="G256">
        <v>13</v>
      </c>
      <c r="H256">
        <v>80</v>
      </c>
      <c r="I256">
        <v>2516</v>
      </c>
      <c r="J256" t="s">
        <v>834</v>
      </c>
      <c r="K256" t="s">
        <v>912</v>
      </c>
      <c r="O256" t="str">
        <f t="shared" si="3"/>
        <v>EPL</v>
      </c>
    </row>
    <row r="257" spans="1:15">
      <c r="A257">
        <v>23</v>
      </c>
      <c r="B257" t="s">
        <v>834</v>
      </c>
      <c r="C257" t="s">
        <v>910</v>
      </c>
      <c r="D257" t="s">
        <v>911</v>
      </c>
      <c r="E257">
        <v>919147</v>
      </c>
      <c r="F257">
        <v>8</v>
      </c>
      <c r="G257">
        <v>31</v>
      </c>
      <c r="H257">
        <v>4</v>
      </c>
      <c r="I257">
        <v>48</v>
      </c>
      <c r="J257" t="s">
        <v>834</v>
      </c>
      <c r="K257" t="s">
        <v>912</v>
      </c>
      <c r="O257" t="str">
        <f t="shared" si="3"/>
        <v>EPL</v>
      </c>
    </row>
    <row r="258" spans="1:15">
      <c r="A258">
        <v>23</v>
      </c>
      <c r="B258" t="s">
        <v>834</v>
      </c>
      <c r="C258" t="s">
        <v>910</v>
      </c>
      <c r="D258" t="s">
        <v>911</v>
      </c>
      <c r="E258">
        <v>919144</v>
      </c>
      <c r="F258">
        <v>8</v>
      </c>
      <c r="G258">
        <v>3</v>
      </c>
      <c r="H258">
        <v>11</v>
      </c>
      <c r="I258">
        <v>3250</v>
      </c>
      <c r="J258" t="s">
        <v>834</v>
      </c>
      <c r="K258" t="s">
        <v>912</v>
      </c>
      <c r="O258" t="str">
        <f t="shared" si="3"/>
        <v>EPL</v>
      </c>
    </row>
    <row r="259" spans="1:15">
      <c r="A259">
        <v>23</v>
      </c>
      <c r="B259" t="s">
        <v>834</v>
      </c>
      <c r="C259" t="s">
        <v>910</v>
      </c>
      <c r="D259" t="s">
        <v>911</v>
      </c>
      <c r="E259">
        <v>919145</v>
      </c>
      <c r="F259">
        <v>8</v>
      </c>
      <c r="G259">
        <v>36</v>
      </c>
      <c r="H259">
        <v>21</v>
      </c>
      <c r="I259">
        <v>7403</v>
      </c>
      <c r="J259" t="s">
        <v>834</v>
      </c>
      <c r="K259" t="s">
        <v>912</v>
      </c>
      <c r="O259" t="str">
        <f t="shared" ref="O259:O322" si="4">VLOOKUP(F259,$Q$3:$R$9,2,0)</f>
        <v>EPL</v>
      </c>
    </row>
    <row r="260" spans="1:15">
      <c r="A260">
        <v>23</v>
      </c>
      <c r="B260" t="s">
        <v>834</v>
      </c>
      <c r="C260" t="s">
        <v>910</v>
      </c>
      <c r="D260" t="s">
        <v>911</v>
      </c>
      <c r="E260">
        <v>919146</v>
      </c>
      <c r="F260">
        <v>8</v>
      </c>
      <c r="G260">
        <v>90</v>
      </c>
      <c r="H260">
        <v>43</v>
      </c>
      <c r="I260">
        <v>88</v>
      </c>
      <c r="J260" t="s">
        <v>834</v>
      </c>
      <c r="K260" t="s">
        <v>912</v>
      </c>
      <c r="O260" t="str">
        <f t="shared" si="4"/>
        <v>EPL</v>
      </c>
    </row>
    <row r="261" spans="1:15">
      <c r="A261">
        <v>23</v>
      </c>
      <c r="B261" t="s">
        <v>834</v>
      </c>
      <c r="C261" t="s">
        <v>910</v>
      </c>
      <c r="D261" t="s">
        <v>911</v>
      </c>
      <c r="E261">
        <v>919143</v>
      </c>
      <c r="F261">
        <v>8</v>
      </c>
      <c r="G261">
        <v>91</v>
      </c>
      <c r="H261">
        <v>110</v>
      </c>
      <c r="I261">
        <v>2734</v>
      </c>
      <c r="J261" t="s">
        <v>834</v>
      </c>
      <c r="K261" t="s">
        <v>912</v>
      </c>
      <c r="O261" t="str">
        <f t="shared" si="4"/>
        <v>EPL</v>
      </c>
    </row>
    <row r="262" spans="1:15">
      <c r="A262">
        <v>24</v>
      </c>
      <c r="B262" t="s">
        <v>834</v>
      </c>
      <c r="C262" t="s">
        <v>913</v>
      </c>
      <c r="D262" t="s">
        <v>914</v>
      </c>
      <c r="E262">
        <v>919159</v>
      </c>
      <c r="F262">
        <v>8</v>
      </c>
      <c r="G262">
        <v>110</v>
      </c>
      <c r="H262">
        <v>36</v>
      </c>
      <c r="I262">
        <v>1</v>
      </c>
      <c r="J262" t="s">
        <v>834</v>
      </c>
      <c r="K262" t="s">
        <v>915</v>
      </c>
      <c r="O262" t="str">
        <f t="shared" si="4"/>
        <v>EPL</v>
      </c>
    </row>
    <row r="263" spans="1:15">
      <c r="A263">
        <v>24</v>
      </c>
      <c r="B263" t="s">
        <v>834</v>
      </c>
      <c r="C263" t="s">
        <v>913</v>
      </c>
      <c r="D263" t="s">
        <v>914</v>
      </c>
      <c r="E263">
        <v>919160</v>
      </c>
      <c r="F263">
        <v>8</v>
      </c>
      <c r="G263">
        <v>80</v>
      </c>
      <c r="H263">
        <v>90</v>
      </c>
      <c r="I263">
        <v>2867</v>
      </c>
      <c r="J263" t="s">
        <v>834</v>
      </c>
      <c r="K263" t="s">
        <v>915</v>
      </c>
      <c r="O263" t="str">
        <f t="shared" si="4"/>
        <v>EPL</v>
      </c>
    </row>
    <row r="264" spans="1:15">
      <c r="A264">
        <v>24</v>
      </c>
      <c r="B264" t="s">
        <v>834</v>
      </c>
      <c r="C264" t="s">
        <v>913</v>
      </c>
      <c r="D264" t="s">
        <v>914</v>
      </c>
      <c r="E264">
        <v>919161</v>
      </c>
      <c r="F264">
        <v>8</v>
      </c>
      <c r="G264">
        <v>6</v>
      </c>
      <c r="H264">
        <v>3</v>
      </c>
      <c r="I264">
        <v>5</v>
      </c>
      <c r="J264" t="s">
        <v>834</v>
      </c>
      <c r="K264" t="s">
        <v>915</v>
      </c>
      <c r="O264" t="str">
        <f t="shared" si="4"/>
        <v>EPL</v>
      </c>
    </row>
    <row r="265" spans="1:15">
      <c r="A265">
        <v>24</v>
      </c>
      <c r="B265" t="s">
        <v>834</v>
      </c>
      <c r="C265" t="s">
        <v>913</v>
      </c>
      <c r="D265" t="s">
        <v>914</v>
      </c>
      <c r="E265">
        <v>919162</v>
      </c>
      <c r="F265">
        <v>8</v>
      </c>
      <c r="G265">
        <v>21</v>
      </c>
      <c r="H265">
        <v>57</v>
      </c>
      <c r="I265">
        <v>11249</v>
      </c>
      <c r="J265" t="s">
        <v>834</v>
      </c>
      <c r="K265" t="s">
        <v>915</v>
      </c>
      <c r="O265" t="str">
        <f t="shared" si="4"/>
        <v>EPL</v>
      </c>
    </row>
    <row r="266" spans="1:15">
      <c r="A266">
        <v>24</v>
      </c>
      <c r="B266" t="s">
        <v>834</v>
      </c>
      <c r="C266" t="s">
        <v>913</v>
      </c>
      <c r="D266" t="s">
        <v>914</v>
      </c>
      <c r="E266">
        <v>919158</v>
      </c>
      <c r="F266">
        <v>8</v>
      </c>
      <c r="G266">
        <v>20</v>
      </c>
      <c r="H266">
        <v>14</v>
      </c>
      <c r="I266">
        <v>2370</v>
      </c>
      <c r="J266" t="s">
        <v>834</v>
      </c>
      <c r="K266" t="s">
        <v>915</v>
      </c>
      <c r="O266" t="str">
        <f t="shared" si="4"/>
        <v>EPL</v>
      </c>
    </row>
    <row r="267" spans="1:15">
      <c r="A267">
        <v>24</v>
      </c>
      <c r="B267" t="s">
        <v>834</v>
      </c>
      <c r="C267" t="s">
        <v>913</v>
      </c>
      <c r="D267" t="s">
        <v>914</v>
      </c>
      <c r="E267">
        <v>919157</v>
      </c>
      <c r="F267">
        <v>8</v>
      </c>
      <c r="G267">
        <v>4</v>
      </c>
      <c r="H267">
        <v>1</v>
      </c>
      <c r="I267">
        <v>31</v>
      </c>
      <c r="J267" t="s">
        <v>834</v>
      </c>
      <c r="K267" t="s">
        <v>915</v>
      </c>
      <c r="O267" t="str">
        <f t="shared" si="4"/>
        <v>EPL</v>
      </c>
    </row>
    <row r="268" spans="1:15">
      <c r="A268">
        <v>24</v>
      </c>
      <c r="B268" t="s">
        <v>834</v>
      </c>
      <c r="C268" t="s">
        <v>913</v>
      </c>
      <c r="D268" t="s">
        <v>914</v>
      </c>
      <c r="E268">
        <v>919154</v>
      </c>
      <c r="F268">
        <v>8</v>
      </c>
      <c r="G268">
        <v>11</v>
      </c>
      <c r="H268">
        <v>31</v>
      </c>
      <c r="I268">
        <v>37</v>
      </c>
      <c r="J268" t="s">
        <v>834</v>
      </c>
      <c r="K268" t="s">
        <v>915</v>
      </c>
      <c r="O268" t="str">
        <f t="shared" si="4"/>
        <v>EPL</v>
      </c>
    </row>
    <row r="269" spans="1:15">
      <c r="A269">
        <v>24</v>
      </c>
      <c r="B269" t="s">
        <v>834</v>
      </c>
      <c r="C269" t="s">
        <v>913</v>
      </c>
      <c r="D269" t="s">
        <v>914</v>
      </c>
      <c r="E269">
        <v>919155</v>
      </c>
      <c r="F269">
        <v>8</v>
      </c>
      <c r="G269">
        <v>38</v>
      </c>
      <c r="H269">
        <v>91</v>
      </c>
      <c r="I269">
        <v>54</v>
      </c>
      <c r="J269" t="s">
        <v>834</v>
      </c>
      <c r="K269" t="s">
        <v>915</v>
      </c>
      <c r="O269" t="str">
        <f t="shared" si="4"/>
        <v>EPL</v>
      </c>
    </row>
    <row r="270" spans="1:15">
      <c r="A270">
        <v>24</v>
      </c>
      <c r="B270" t="s">
        <v>834</v>
      </c>
      <c r="C270" t="s">
        <v>913</v>
      </c>
      <c r="D270" t="s">
        <v>914</v>
      </c>
      <c r="E270">
        <v>919156</v>
      </c>
      <c r="F270">
        <v>8</v>
      </c>
      <c r="G270">
        <v>43</v>
      </c>
      <c r="H270">
        <v>13</v>
      </c>
      <c r="I270">
        <v>2691</v>
      </c>
      <c r="J270" t="s">
        <v>834</v>
      </c>
      <c r="K270" t="s">
        <v>915</v>
      </c>
      <c r="O270" t="str">
        <f t="shared" si="4"/>
        <v>EPL</v>
      </c>
    </row>
    <row r="271" spans="1:15">
      <c r="A271">
        <v>24</v>
      </c>
      <c r="B271" t="s">
        <v>834</v>
      </c>
      <c r="C271" t="s">
        <v>913</v>
      </c>
      <c r="D271" t="s">
        <v>914</v>
      </c>
      <c r="E271">
        <v>919153</v>
      </c>
      <c r="F271">
        <v>8</v>
      </c>
      <c r="G271">
        <v>8</v>
      </c>
      <c r="H271">
        <v>35</v>
      </c>
      <c r="I271">
        <v>35</v>
      </c>
      <c r="J271" t="s">
        <v>834</v>
      </c>
      <c r="K271" t="s">
        <v>915</v>
      </c>
      <c r="O271" t="str">
        <f t="shared" si="4"/>
        <v>EPL</v>
      </c>
    </row>
    <row r="272" spans="1:15">
      <c r="A272">
        <v>26</v>
      </c>
      <c r="B272" t="s">
        <v>834</v>
      </c>
      <c r="C272" t="s">
        <v>916</v>
      </c>
      <c r="D272" t="s">
        <v>917</v>
      </c>
      <c r="E272">
        <v>919169</v>
      </c>
      <c r="F272">
        <v>8</v>
      </c>
      <c r="G272">
        <v>14</v>
      </c>
      <c r="H272">
        <v>21</v>
      </c>
      <c r="I272">
        <v>39</v>
      </c>
      <c r="J272" t="s">
        <v>834</v>
      </c>
      <c r="K272" t="s">
        <v>918</v>
      </c>
      <c r="O272" t="str">
        <f t="shared" si="4"/>
        <v>EPL</v>
      </c>
    </row>
    <row r="273" spans="1:15">
      <c r="A273">
        <v>26</v>
      </c>
      <c r="B273" t="s">
        <v>834</v>
      </c>
      <c r="C273" t="s">
        <v>916</v>
      </c>
      <c r="D273" t="s">
        <v>917</v>
      </c>
      <c r="E273">
        <v>919170</v>
      </c>
      <c r="F273">
        <v>8</v>
      </c>
      <c r="G273">
        <v>1</v>
      </c>
      <c r="H273">
        <v>8</v>
      </c>
      <c r="I273">
        <v>28</v>
      </c>
      <c r="J273" t="s">
        <v>834</v>
      </c>
      <c r="K273" t="s">
        <v>918</v>
      </c>
      <c r="O273" t="str">
        <f t="shared" si="4"/>
        <v>EPL</v>
      </c>
    </row>
    <row r="274" spans="1:15">
      <c r="A274">
        <v>26</v>
      </c>
      <c r="B274" t="s">
        <v>834</v>
      </c>
      <c r="C274" t="s">
        <v>916</v>
      </c>
      <c r="D274" t="s">
        <v>917</v>
      </c>
      <c r="E274">
        <v>919171</v>
      </c>
      <c r="F274">
        <v>8</v>
      </c>
      <c r="G274">
        <v>57</v>
      </c>
      <c r="H274">
        <v>11</v>
      </c>
      <c r="I274">
        <v>73</v>
      </c>
      <c r="J274" t="s">
        <v>834</v>
      </c>
      <c r="K274" t="s">
        <v>918</v>
      </c>
      <c r="O274" t="str">
        <f t="shared" si="4"/>
        <v>EPL</v>
      </c>
    </row>
    <row r="275" spans="1:15">
      <c r="A275">
        <v>26</v>
      </c>
      <c r="B275" t="s">
        <v>834</v>
      </c>
      <c r="C275" t="s">
        <v>916</v>
      </c>
      <c r="D275" t="s">
        <v>917</v>
      </c>
      <c r="E275">
        <v>919172</v>
      </c>
      <c r="F275">
        <v>8</v>
      </c>
      <c r="G275">
        <v>35</v>
      </c>
      <c r="H275">
        <v>38</v>
      </c>
      <c r="I275">
        <v>51</v>
      </c>
      <c r="J275" t="s">
        <v>834</v>
      </c>
      <c r="K275" t="s">
        <v>918</v>
      </c>
      <c r="O275" t="str">
        <f t="shared" si="4"/>
        <v>EPL</v>
      </c>
    </row>
    <row r="276" spans="1:15">
      <c r="A276">
        <v>26</v>
      </c>
      <c r="B276" t="s">
        <v>834</v>
      </c>
      <c r="C276" t="s">
        <v>916</v>
      </c>
      <c r="D276" t="s">
        <v>917</v>
      </c>
      <c r="E276">
        <v>919168</v>
      </c>
      <c r="F276">
        <v>8</v>
      </c>
      <c r="G276">
        <v>13</v>
      </c>
      <c r="H276">
        <v>110</v>
      </c>
      <c r="I276">
        <v>2516</v>
      </c>
      <c r="J276" t="s">
        <v>834</v>
      </c>
      <c r="K276" t="s">
        <v>918</v>
      </c>
      <c r="O276" t="str">
        <f t="shared" si="4"/>
        <v>EPL</v>
      </c>
    </row>
    <row r="277" spans="1:15">
      <c r="A277">
        <v>26</v>
      </c>
      <c r="B277" t="s">
        <v>834</v>
      </c>
      <c r="C277" t="s">
        <v>916</v>
      </c>
      <c r="D277" t="s">
        <v>917</v>
      </c>
      <c r="E277">
        <v>919167</v>
      </c>
      <c r="F277">
        <v>8</v>
      </c>
      <c r="G277">
        <v>31</v>
      </c>
      <c r="H277">
        <v>6</v>
      </c>
      <c r="I277">
        <v>48</v>
      </c>
      <c r="J277" t="s">
        <v>834</v>
      </c>
      <c r="K277" t="s">
        <v>918</v>
      </c>
      <c r="O277" t="str">
        <f t="shared" si="4"/>
        <v>EPL</v>
      </c>
    </row>
    <row r="278" spans="1:15">
      <c r="A278">
        <v>26</v>
      </c>
      <c r="B278" t="s">
        <v>834</v>
      </c>
      <c r="C278" t="s">
        <v>916</v>
      </c>
      <c r="D278" t="s">
        <v>917</v>
      </c>
      <c r="E278">
        <v>919164</v>
      </c>
      <c r="F278">
        <v>8</v>
      </c>
      <c r="G278">
        <v>3</v>
      </c>
      <c r="H278">
        <v>43</v>
      </c>
      <c r="I278">
        <v>3250</v>
      </c>
      <c r="J278" t="s">
        <v>834</v>
      </c>
      <c r="K278" t="s">
        <v>918</v>
      </c>
      <c r="O278" t="str">
        <f t="shared" si="4"/>
        <v>EPL</v>
      </c>
    </row>
    <row r="279" spans="1:15">
      <c r="A279">
        <v>26</v>
      </c>
      <c r="B279" t="s">
        <v>834</v>
      </c>
      <c r="C279" t="s">
        <v>916</v>
      </c>
      <c r="D279" t="s">
        <v>917</v>
      </c>
      <c r="E279">
        <v>919165</v>
      </c>
      <c r="F279">
        <v>8</v>
      </c>
      <c r="G279">
        <v>36</v>
      </c>
      <c r="H279">
        <v>80</v>
      </c>
      <c r="I279">
        <v>7403</v>
      </c>
      <c r="J279" t="s">
        <v>834</v>
      </c>
      <c r="K279" t="s">
        <v>918</v>
      </c>
      <c r="O279" t="str">
        <f t="shared" si="4"/>
        <v>EPL</v>
      </c>
    </row>
    <row r="280" spans="1:15">
      <c r="A280">
        <v>26</v>
      </c>
      <c r="B280" t="s">
        <v>834</v>
      </c>
      <c r="C280" t="s">
        <v>916</v>
      </c>
      <c r="D280" t="s">
        <v>917</v>
      </c>
      <c r="E280">
        <v>919166</v>
      </c>
      <c r="F280">
        <v>8</v>
      </c>
      <c r="G280">
        <v>90</v>
      </c>
      <c r="H280">
        <v>20</v>
      </c>
      <c r="I280">
        <v>88</v>
      </c>
      <c r="J280" t="s">
        <v>834</v>
      </c>
      <c r="K280" t="s">
        <v>918</v>
      </c>
      <c r="O280" t="str">
        <f t="shared" si="4"/>
        <v>EPL</v>
      </c>
    </row>
    <row r="281" spans="1:15">
      <c r="A281">
        <v>26</v>
      </c>
      <c r="B281" t="s">
        <v>834</v>
      </c>
      <c r="C281" t="s">
        <v>916</v>
      </c>
      <c r="D281" t="s">
        <v>917</v>
      </c>
      <c r="E281">
        <v>919163</v>
      </c>
      <c r="F281">
        <v>8</v>
      </c>
      <c r="G281">
        <v>91</v>
      </c>
      <c r="H281">
        <v>4</v>
      </c>
      <c r="I281">
        <v>2734</v>
      </c>
      <c r="J281" t="s">
        <v>834</v>
      </c>
      <c r="K281" t="s">
        <v>918</v>
      </c>
      <c r="O281" t="str">
        <f t="shared" si="4"/>
        <v>EPL</v>
      </c>
    </row>
    <row r="282" spans="1:15">
      <c r="A282">
        <v>27</v>
      </c>
      <c r="B282" t="s">
        <v>834</v>
      </c>
      <c r="C282" t="s">
        <v>919</v>
      </c>
      <c r="D282" t="s">
        <v>920</v>
      </c>
      <c r="E282">
        <v>919179</v>
      </c>
      <c r="F282">
        <v>8</v>
      </c>
      <c r="G282">
        <v>20</v>
      </c>
      <c r="H282">
        <v>110</v>
      </c>
      <c r="I282">
        <v>2370</v>
      </c>
      <c r="J282" t="s">
        <v>834</v>
      </c>
      <c r="K282" t="s">
        <v>921</v>
      </c>
      <c r="O282" t="str">
        <f t="shared" si="4"/>
        <v>EPL</v>
      </c>
    </row>
    <row r="283" spans="1:15">
      <c r="A283">
        <v>27</v>
      </c>
      <c r="B283" t="s">
        <v>834</v>
      </c>
      <c r="C283" t="s">
        <v>919</v>
      </c>
      <c r="D283" t="s">
        <v>920</v>
      </c>
      <c r="E283">
        <v>919180</v>
      </c>
      <c r="F283">
        <v>8</v>
      </c>
      <c r="G283">
        <v>80</v>
      </c>
      <c r="H283">
        <v>21</v>
      </c>
      <c r="I283">
        <v>2867</v>
      </c>
      <c r="J283" t="s">
        <v>834</v>
      </c>
      <c r="K283" t="s">
        <v>921</v>
      </c>
      <c r="O283" t="str">
        <f t="shared" si="4"/>
        <v>EPL</v>
      </c>
    </row>
    <row r="284" spans="1:15">
      <c r="A284">
        <v>27</v>
      </c>
      <c r="B284" t="s">
        <v>834</v>
      </c>
      <c r="C284" t="s">
        <v>919</v>
      </c>
      <c r="D284" t="s">
        <v>920</v>
      </c>
      <c r="E284">
        <v>919181</v>
      </c>
      <c r="F284">
        <v>8</v>
      </c>
      <c r="G284">
        <v>6</v>
      </c>
      <c r="H284">
        <v>38</v>
      </c>
      <c r="I284">
        <v>5</v>
      </c>
      <c r="J284" t="s">
        <v>834</v>
      </c>
      <c r="K284" t="s">
        <v>921</v>
      </c>
      <c r="O284" t="str">
        <f t="shared" si="4"/>
        <v>EPL</v>
      </c>
    </row>
    <row r="285" spans="1:15">
      <c r="A285">
        <v>27</v>
      </c>
      <c r="B285" t="s">
        <v>834</v>
      </c>
      <c r="C285" t="s">
        <v>919</v>
      </c>
      <c r="D285" t="s">
        <v>920</v>
      </c>
      <c r="E285">
        <v>919182</v>
      </c>
      <c r="F285">
        <v>8</v>
      </c>
      <c r="G285">
        <v>57</v>
      </c>
      <c r="H285">
        <v>35</v>
      </c>
      <c r="I285">
        <v>73</v>
      </c>
      <c r="J285" t="s">
        <v>834</v>
      </c>
      <c r="K285" t="s">
        <v>921</v>
      </c>
      <c r="O285" t="str">
        <f t="shared" si="4"/>
        <v>EPL</v>
      </c>
    </row>
    <row r="286" spans="1:15">
      <c r="A286">
        <v>27</v>
      </c>
      <c r="B286" t="s">
        <v>834</v>
      </c>
      <c r="C286" t="s">
        <v>919</v>
      </c>
      <c r="D286" t="s">
        <v>920</v>
      </c>
      <c r="E286">
        <v>919178</v>
      </c>
      <c r="F286">
        <v>8</v>
      </c>
      <c r="G286">
        <v>43</v>
      </c>
      <c r="H286">
        <v>8</v>
      </c>
      <c r="I286">
        <v>2691</v>
      </c>
      <c r="J286" t="s">
        <v>834</v>
      </c>
      <c r="K286" t="s">
        <v>921</v>
      </c>
      <c r="O286" t="str">
        <f t="shared" si="4"/>
        <v>EPL</v>
      </c>
    </row>
    <row r="287" spans="1:15">
      <c r="A287">
        <v>27</v>
      </c>
      <c r="B287" t="s">
        <v>834</v>
      </c>
      <c r="C287" t="s">
        <v>919</v>
      </c>
      <c r="D287" t="s">
        <v>920</v>
      </c>
      <c r="E287">
        <v>919177</v>
      </c>
      <c r="F287">
        <v>8</v>
      </c>
      <c r="G287">
        <v>14</v>
      </c>
      <c r="H287">
        <v>4</v>
      </c>
      <c r="I287">
        <v>39</v>
      </c>
      <c r="J287" t="s">
        <v>834</v>
      </c>
      <c r="K287" t="s">
        <v>921</v>
      </c>
      <c r="O287" t="str">
        <f t="shared" si="4"/>
        <v>EPL</v>
      </c>
    </row>
    <row r="288" spans="1:15">
      <c r="A288">
        <v>27</v>
      </c>
      <c r="B288" t="s">
        <v>834</v>
      </c>
      <c r="C288" t="s">
        <v>919</v>
      </c>
      <c r="D288" t="s">
        <v>920</v>
      </c>
      <c r="E288">
        <v>919174</v>
      </c>
      <c r="F288">
        <v>8</v>
      </c>
      <c r="G288">
        <v>90</v>
      </c>
      <c r="H288">
        <v>11</v>
      </c>
      <c r="I288">
        <v>88</v>
      </c>
      <c r="J288" t="s">
        <v>834</v>
      </c>
      <c r="K288" t="s">
        <v>921</v>
      </c>
      <c r="O288" t="str">
        <f t="shared" si="4"/>
        <v>EPL</v>
      </c>
    </row>
    <row r="289" spans="1:15">
      <c r="A289">
        <v>27</v>
      </c>
      <c r="B289" t="s">
        <v>834</v>
      </c>
      <c r="C289" t="s">
        <v>919</v>
      </c>
      <c r="D289" t="s">
        <v>920</v>
      </c>
      <c r="E289">
        <v>919175</v>
      </c>
      <c r="F289">
        <v>8</v>
      </c>
      <c r="G289">
        <v>31</v>
      </c>
      <c r="H289">
        <v>1</v>
      </c>
      <c r="I289">
        <v>48</v>
      </c>
      <c r="J289" t="s">
        <v>834</v>
      </c>
      <c r="K289" t="s">
        <v>921</v>
      </c>
      <c r="O289" t="str">
        <f t="shared" si="4"/>
        <v>EPL</v>
      </c>
    </row>
    <row r="290" spans="1:15">
      <c r="A290">
        <v>27</v>
      </c>
      <c r="B290" t="s">
        <v>834</v>
      </c>
      <c r="C290" t="s">
        <v>919</v>
      </c>
      <c r="D290" t="s">
        <v>920</v>
      </c>
      <c r="E290">
        <v>919176</v>
      </c>
      <c r="F290">
        <v>8</v>
      </c>
      <c r="G290">
        <v>13</v>
      </c>
      <c r="H290">
        <v>91</v>
      </c>
      <c r="I290">
        <v>2516</v>
      </c>
      <c r="J290" t="s">
        <v>834</v>
      </c>
      <c r="K290" t="s">
        <v>921</v>
      </c>
      <c r="O290" t="str">
        <f t="shared" si="4"/>
        <v>EPL</v>
      </c>
    </row>
    <row r="291" spans="1:15">
      <c r="A291">
        <v>27</v>
      </c>
      <c r="B291" t="s">
        <v>834</v>
      </c>
      <c r="C291" t="s">
        <v>919</v>
      </c>
      <c r="D291" t="s">
        <v>920</v>
      </c>
      <c r="E291">
        <v>919173</v>
      </c>
      <c r="F291">
        <v>8</v>
      </c>
      <c r="G291">
        <v>36</v>
      </c>
      <c r="H291">
        <v>3</v>
      </c>
      <c r="I291">
        <v>7403</v>
      </c>
      <c r="J291" t="s">
        <v>834</v>
      </c>
      <c r="K291" t="s">
        <v>921</v>
      </c>
      <c r="O291" t="str">
        <f t="shared" si="4"/>
        <v>EPL</v>
      </c>
    </row>
    <row r="292" spans="1:15">
      <c r="A292">
        <v>28</v>
      </c>
      <c r="B292" t="s">
        <v>834</v>
      </c>
      <c r="C292" t="s">
        <v>922</v>
      </c>
      <c r="D292" t="s">
        <v>923</v>
      </c>
      <c r="E292">
        <v>919189</v>
      </c>
      <c r="F292">
        <v>8</v>
      </c>
      <c r="G292">
        <v>4</v>
      </c>
      <c r="H292">
        <v>20</v>
      </c>
      <c r="I292">
        <v>31</v>
      </c>
      <c r="J292" t="s">
        <v>834</v>
      </c>
      <c r="K292" t="s">
        <v>924</v>
      </c>
      <c r="O292" t="str">
        <f t="shared" si="4"/>
        <v>EPL</v>
      </c>
    </row>
    <row r="293" spans="1:15">
      <c r="A293">
        <v>28</v>
      </c>
      <c r="B293" t="s">
        <v>834</v>
      </c>
      <c r="C293" t="s">
        <v>922</v>
      </c>
      <c r="D293" t="s">
        <v>923</v>
      </c>
      <c r="E293">
        <v>919190</v>
      </c>
      <c r="F293">
        <v>8</v>
      </c>
      <c r="G293">
        <v>110</v>
      </c>
      <c r="H293">
        <v>43</v>
      </c>
      <c r="I293">
        <v>1</v>
      </c>
      <c r="J293" t="s">
        <v>834</v>
      </c>
      <c r="K293" t="s">
        <v>924</v>
      </c>
      <c r="O293" t="str">
        <f t="shared" si="4"/>
        <v>EPL</v>
      </c>
    </row>
    <row r="294" spans="1:15">
      <c r="A294">
        <v>28</v>
      </c>
      <c r="B294" t="s">
        <v>834</v>
      </c>
      <c r="C294" t="s">
        <v>922</v>
      </c>
      <c r="D294" t="s">
        <v>923</v>
      </c>
      <c r="E294">
        <v>919191</v>
      </c>
      <c r="F294">
        <v>8</v>
      </c>
      <c r="G294">
        <v>35</v>
      </c>
      <c r="H294">
        <v>13</v>
      </c>
      <c r="I294">
        <v>51</v>
      </c>
      <c r="J294" t="s">
        <v>834</v>
      </c>
      <c r="K294" t="s">
        <v>924</v>
      </c>
      <c r="O294" t="str">
        <f t="shared" si="4"/>
        <v>EPL</v>
      </c>
    </row>
    <row r="295" spans="1:15">
      <c r="A295">
        <v>28</v>
      </c>
      <c r="B295" t="s">
        <v>834</v>
      </c>
      <c r="C295" t="s">
        <v>922</v>
      </c>
      <c r="D295" t="s">
        <v>923</v>
      </c>
      <c r="E295">
        <v>919192</v>
      </c>
      <c r="F295">
        <v>8</v>
      </c>
      <c r="G295">
        <v>21</v>
      </c>
      <c r="H295">
        <v>90</v>
      </c>
      <c r="I295">
        <v>11249</v>
      </c>
      <c r="J295" t="s">
        <v>834</v>
      </c>
      <c r="K295" t="s">
        <v>924</v>
      </c>
      <c r="O295" t="str">
        <f t="shared" si="4"/>
        <v>EPL</v>
      </c>
    </row>
    <row r="296" spans="1:15">
      <c r="A296">
        <v>28</v>
      </c>
      <c r="B296" t="s">
        <v>834</v>
      </c>
      <c r="C296" t="s">
        <v>922</v>
      </c>
      <c r="D296" t="s">
        <v>923</v>
      </c>
      <c r="E296">
        <v>919188</v>
      </c>
      <c r="F296">
        <v>8</v>
      </c>
      <c r="G296">
        <v>1</v>
      </c>
      <c r="H296">
        <v>14</v>
      </c>
      <c r="I296">
        <v>28</v>
      </c>
      <c r="J296" t="s">
        <v>834</v>
      </c>
      <c r="K296" t="s">
        <v>924</v>
      </c>
      <c r="O296" t="str">
        <f t="shared" si="4"/>
        <v>EPL</v>
      </c>
    </row>
    <row r="297" spans="1:15">
      <c r="A297">
        <v>28</v>
      </c>
      <c r="B297" t="s">
        <v>834</v>
      </c>
      <c r="C297" t="s">
        <v>922</v>
      </c>
      <c r="D297" t="s">
        <v>923</v>
      </c>
      <c r="E297">
        <v>919187</v>
      </c>
      <c r="F297">
        <v>8</v>
      </c>
      <c r="G297">
        <v>38</v>
      </c>
      <c r="H297">
        <v>80</v>
      </c>
      <c r="I297">
        <v>54</v>
      </c>
      <c r="J297" t="s">
        <v>834</v>
      </c>
      <c r="K297" t="s">
        <v>924</v>
      </c>
      <c r="O297" t="str">
        <f t="shared" si="4"/>
        <v>EPL</v>
      </c>
    </row>
    <row r="298" spans="1:15">
      <c r="A298">
        <v>28</v>
      </c>
      <c r="B298" t="s">
        <v>834</v>
      </c>
      <c r="C298" t="s">
        <v>922</v>
      </c>
      <c r="D298" t="s">
        <v>923</v>
      </c>
      <c r="E298">
        <v>919184</v>
      </c>
      <c r="F298">
        <v>8</v>
      </c>
      <c r="G298">
        <v>3</v>
      </c>
      <c r="H298">
        <v>57</v>
      </c>
      <c r="I298">
        <v>3250</v>
      </c>
      <c r="J298" t="s">
        <v>834</v>
      </c>
      <c r="K298" t="s">
        <v>924</v>
      </c>
      <c r="O298" t="str">
        <f t="shared" si="4"/>
        <v>EPL</v>
      </c>
    </row>
    <row r="299" spans="1:15">
      <c r="A299">
        <v>28</v>
      </c>
      <c r="B299" t="s">
        <v>834</v>
      </c>
      <c r="C299" t="s">
        <v>922</v>
      </c>
      <c r="D299" t="s">
        <v>923</v>
      </c>
      <c r="E299">
        <v>919185</v>
      </c>
      <c r="F299">
        <v>8</v>
      </c>
      <c r="G299">
        <v>8</v>
      </c>
      <c r="H299">
        <v>31</v>
      </c>
      <c r="I299">
        <v>35</v>
      </c>
      <c r="J299" t="s">
        <v>834</v>
      </c>
      <c r="K299" t="s">
        <v>924</v>
      </c>
      <c r="O299" t="str">
        <f t="shared" si="4"/>
        <v>EPL</v>
      </c>
    </row>
    <row r="300" spans="1:15">
      <c r="A300">
        <v>28</v>
      </c>
      <c r="B300" t="s">
        <v>834</v>
      </c>
      <c r="C300" t="s">
        <v>922</v>
      </c>
      <c r="D300" t="s">
        <v>923</v>
      </c>
      <c r="E300">
        <v>919186</v>
      </c>
      <c r="F300">
        <v>8</v>
      </c>
      <c r="G300">
        <v>11</v>
      </c>
      <c r="H300">
        <v>36</v>
      </c>
      <c r="I300">
        <v>37</v>
      </c>
      <c r="J300" t="s">
        <v>834</v>
      </c>
      <c r="K300" t="s">
        <v>924</v>
      </c>
      <c r="O300" t="str">
        <f t="shared" si="4"/>
        <v>EPL</v>
      </c>
    </row>
    <row r="301" spans="1:15">
      <c r="A301">
        <v>28</v>
      </c>
      <c r="B301" t="s">
        <v>834</v>
      </c>
      <c r="C301" t="s">
        <v>922</v>
      </c>
      <c r="D301" t="s">
        <v>923</v>
      </c>
      <c r="E301">
        <v>919183</v>
      </c>
      <c r="F301">
        <v>8</v>
      </c>
      <c r="G301">
        <v>91</v>
      </c>
      <c r="H301">
        <v>6</v>
      </c>
      <c r="I301">
        <v>2734</v>
      </c>
      <c r="J301" t="s">
        <v>834</v>
      </c>
      <c r="K301" t="s">
        <v>924</v>
      </c>
      <c r="O301" t="str">
        <f t="shared" si="4"/>
        <v>EPL</v>
      </c>
    </row>
    <row r="302" spans="1:15">
      <c r="A302">
        <v>29</v>
      </c>
      <c r="B302" t="s">
        <v>834</v>
      </c>
      <c r="C302" t="s">
        <v>925</v>
      </c>
      <c r="D302" t="s">
        <v>926</v>
      </c>
      <c r="E302">
        <v>919199</v>
      </c>
      <c r="F302">
        <v>8</v>
      </c>
      <c r="G302">
        <v>110</v>
      </c>
      <c r="H302">
        <v>11</v>
      </c>
      <c r="I302">
        <v>1</v>
      </c>
      <c r="J302" t="s">
        <v>834</v>
      </c>
      <c r="K302" t="s">
        <v>927</v>
      </c>
      <c r="O302" t="str">
        <f t="shared" si="4"/>
        <v>EPL</v>
      </c>
    </row>
    <row r="303" spans="1:15">
      <c r="A303">
        <v>29</v>
      </c>
      <c r="B303" t="s">
        <v>834</v>
      </c>
      <c r="C303" t="s">
        <v>925</v>
      </c>
      <c r="D303" t="s">
        <v>926</v>
      </c>
      <c r="E303">
        <v>919200</v>
      </c>
      <c r="F303">
        <v>8</v>
      </c>
      <c r="G303">
        <v>80</v>
      </c>
      <c r="H303">
        <v>20</v>
      </c>
      <c r="I303">
        <v>2867</v>
      </c>
      <c r="J303" t="s">
        <v>834</v>
      </c>
      <c r="K303" t="s">
        <v>927</v>
      </c>
      <c r="O303" t="str">
        <f t="shared" si="4"/>
        <v>EPL</v>
      </c>
    </row>
    <row r="304" spans="1:15">
      <c r="A304">
        <v>29</v>
      </c>
      <c r="B304" t="s">
        <v>834</v>
      </c>
      <c r="C304" t="s">
        <v>925</v>
      </c>
      <c r="D304" t="s">
        <v>926</v>
      </c>
      <c r="E304">
        <v>919201</v>
      </c>
      <c r="F304">
        <v>8</v>
      </c>
      <c r="G304">
        <v>6</v>
      </c>
      <c r="H304">
        <v>4</v>
      </c>
      <c r="I304">
        <v>5</v>
      </c>
      <c r="J304" t="s">
        <v>834</v>
      </c>
      <c r="K304" t="s">
        <v>927</v>
      </c>
      <c r="O304" t="str">
        <f t="shared" si="4"/>
        <v>EPL</v>
      </c>
    </row>
    <row r="305" spans="1:15">
      <c r="A305">
        <v>29</v>
      </c>
      <c r="B305" t="s">
        <v>834</v>
      </c>
      <c r="C305" t="s">
        <v>925</v>
      </c>
      <c r="D305" t="s">
        <v>926</v>
      </c>
      <c r="E305">
        <v>919202</v>
      </c>
      <c r="F305">
        <v>8</v>
      </c>
      <c r="G305">
        <v>21</v>
      </c>
      <c r="H305">
        <v>1</v>
      </c>
      <c r="I305">
        <v>11249</v>
      </c>
      <c r="J305" t="s">
        <v>834</v>
      </c>
      <c r="K305" t="s">
        <v>927</v>
      </c>
      <c r="O305" t="str">
        <f t="shared" si="4"/>
        <v>EPL</v>
      </c>
    </row>
    <row r="306" spans="1:15">
      <c r="A306">
        <v>29</v>
      </c>
      <c r="B306" t="s">
        <v>834</v>
      </c>
      <c r="C306" t="s">
        <v>925</v>
      </c>
      <c r="D306" t="s">
        <v>926</v>
      </c>
      <c r="E306">
        <v>919198</v>
      </c>
      <c r="F306">
        <v>8</v>
      </c>
      <c r="G306">
        <v>43</v>
      </c>
      <c r="H306">
        <v>36</v>
      </c>
      <c r="I306">
        <v>2691</v>
      </c>
      <c r="J306" t="s">
        <v>834</v>
      </c>
      <c r="K306" t="s">
        <v>927</v>
      </c>
      <c r="O306" t="str">
        <f t="shared" si="4"/>
        <v>EPL</v>
      </c>
    </row>
    <row r="307" spans="1:15">
      <c r="A307">
        <v>29</v>
      </c>
      <c r="B307" t="s">
        <v>834</v>
      </c>
      <c r="C307" t="s">
        <v>925</v>
      </c>
      <c r="D307" t="s">
        <v>926</v>
      </c>
      <c r="E307">
        <v>919197</v>
      </c>
      <c r="F307">
        <v>8</v>
      </c>
      <c r="G307">
        <v>14</v>
      </c>
      <c r="H307">
        <v>57</v>
      </c>
      <c r="I307">
        <v>39</v>
      </c>
      <c r="J307" t="s">
        <v>834</v>
      </c>
      <c r="K307" t="s">
        <v>927</v>
      </c>
      <c r="O307" t="str">
        <f t="shared" si="4"/>
        <v>EPL</v>
      </c>
    </row>
    <row r="308" spans="1:15">
      <c r="A308">
        <v>29</v>
      </c>
      <c r="B308" t="s">
        <v>834</v>
      </c>
      <c r="C308" t="s">
        <v>925</v>
      </c>
      <c r="D308" t="s">
        <v>926</v>
      </c>
      <c r="E308">
        <v>919194</v>
      </c>
      <c r="F308">
        <v>8</v>
      </c>
      <c r="G308">
        <v>90</v>
      </c>
      <c r="H308">
        <v>8</v>
      </c>
      <c r="I308">
        <v>88</v>
      </c>
      <c r="J308" t="s">
        <v>834</v>
      </c>
      <c r="K308" t="s">
        <v>927</v>
      </c>
      <c r="O308" t="str">
        <f t="shared" si="4"/>
        <v>EPL</v>
      </c>
    </row>
    <row r="309" spans="1:15">
      <c r="A309">
        <v>29</v>
      </c>
      <c r="B309" t="s">
        <v>834</v>
      </c>
      <c r="C309" t="s">
        <v>925</v>
      </c>
      <c r="D309" t="s">
        <v>926</v>
      </c>
      <c r="E309">
        <v>919195</v>
      </c>
      <c r="F309">
        <v>8</v>
      </c>
      <c r="G309">
        <v>38</v>
      </c>
      <c r="H309">
        <v>31</v>
      </c>
      <c r="I309">
        <v>54</v>
      </c>
      <c r="J309" t="s">
        <v>834</v>
      </c>
      <c r="K309" t="s">
        <v>927</v>
      </c>
      <c r="O309" t="str">
        <f t="shared" si="4"/>
        <v>EPL</v>
      </c>
    </row>
    <row r="310" spans="1:15">
      <c r="A310">
        <v>29</v>
      </c>
      <c r="B310" t="s">
        <v>834</v>
      </c>
      <c r="C310" t="s">
        <v>925</v>
      </c>
      <c r="D310" t="s">
        <v>926</v>
      </c>
      <c r="E310">
        <v>919196</v>
      </c>
      <c r="F310">
        <v>8</v>
      </c>
      <c r="G310">
        <v>13</v>
      </c>
      <c r="H310">
        <v>3</v>
      </c>
      <c r="I310">
        <v>2516</v>
      </c>
      <c r="J310" t="s">
        <v>834</v>
      </c>
      <c r="K310" t="s">
        <v>927</v>
      </c>
      <c r="O310" t="str">
        <f t="shared" si="4"/>
        <v>EPL</v>
      </c>
    </row>
    <row r="311" spans="1:15">
      <c r="A311">
        <v>29</v>
      </c>
      <c r="B311" t="s">
        <v>834</v>
      </c>
      <c r="C311" t="s">
        <v>925</v>
      </c>
      <c r="D311" t="s">
        <v>926</v>
      </c>
      <c r="E311">
        <v>919193</v>
      </c>
      <c r="F311">
        <v>8</v>
      </c>
      <c r="G311">
        <v>91</v>
      </c>
      <c r="H311">
        <v>35</v>
      </c>
      <c r="I311">
        <v>2734</v>
      </c>
      <c r="J311" t="s">
        <v>834</v>
      </c>
      <c r="K311" t="s">
        <v>927</v>
      </c>
      <c r="O311" t="str">
        <f t="shared" si="4"/>
        <v>EPL</v>
      </c>
    </row>
    <row r="312" spans="1:15">
      <c r="A312">
        <v>30</v>
      </c>
      <c r="B312" t="s">
        <v>834</v>
      </c>
      <c r="C312" t="s">
        <v>928</v>
      </c>
      <c r="D312" t="s">
        <v>929</v>
      </c>
      <c r="E312">
        <v>919208</v>
      </c>
      <c r="F312">
        <v>8</v>
      </c>
      <c r="G312">
        <v>1</v>
      </c>
      <c r="H312">
        <v>80</v>
      </c>
      <c r="I312">
        <v>28</v>
      </c>
      <c r="J312" t="s">
        <v>834</v>
      </c>
      <c r="K312" t="s">
        <v>930</v>
      </c>
      <c r="O312" t="str">
        <f t="shared" si="4"/>
        <v>EPL</v>
      </c>
    </row>
    <row r="313" spans="1:15">
      <c r="A313">
        <v>30</v>
      </c>
      <c r="B313" t="s">
        <v>834</v>
      </c>
      <c r="C313" t="s">
        <v>928</v>
      </c>
      <c r="D313" t="s">
        <v>929</v>
      </c>
      <c r="E313">
        <v>919209</v>
      </c>
      <c r="F313">
        <v>8</v>
      </c>
      <c r="G313">
        <v>4</v>
      </c>
      <c r="H313">
        <v>38</v>
      </c>
      <c r="I313">
        <v>31</v>
      </c>
      <c r="J313" t="s">
        <v>834</v>
      </c>
      <c r="K313" t="s">
        <v>930</v>
      </c>
      <c r="O313" t="str">
        <f t="shared" si="4"/>
        <v>EPL</v>
      </c>
    </row>
    <row r="314" spans="1:15">
      <c r="A314">
        <v>30</v>
      </c>
      <c r="B314" t="s">
        <v>834</v>
      </c>
      <c r="C314" t="s">
        <v>928</v>
      </c>
      <c r="D314" t="s">
        <v>929</v>
      </c>
      <c r="E314">
        <v>919211</v>
      </c>
      <c r="F314">
        <v>8</v>
      </c>
      <c r="G314">
        <v>57</v>
      </c>
      <c r="H314">
        <v>91</v>
      </c>
      <c r="I314">
        <v>73</v>
      </c>
      <c r="J314" t="s">
        <v>834</v>
      </c>
      <c r="K314" t="s">
        <v>930</v>
      </c>
      <c r="O314" t="str">
        <f t="shared" si="4"/>
        <v>EPL</v>
      </c>
    </row>
    <row r="315" spans="1:15">
      <c r="A315">
        <v>30</v>
      </c>
      <c r="B315" t="s">
        <v>834</v>
      </c>
      <c r="C315" t="s">
        <v>928</v>
      </c>
      <c r="D315" t="s">
        <v>929</v>
      </c>
      <c r="E315">
        <v>919212</v>
      </c>
      <c r="F315">
        <v>8</v>
      </c>
      <c r="G315">
        <v>35</v>
      </c>
      <c r="H315">
        <v>90</v>
      </c>
      <c r="I315">
        <v>51</v>
      </c>
      <c r="J315" t="s">
        <v>834</v>
      </c>
      <c r="K315" t="s">
        <v>930</v>
      </c>
      <c r="O315" t="str">
        <f t="shared" si="4"/>
        <v>EPL</v>
      </c>
    </row>
    <row r="316" spans="1:15">
      <c r="A316">
        <v>30</v>
      </c>
      <c r="B316" t="s">
        <v>834</v>
      </c>
      <c r="C316" t="s">
        <v>928</v>
      </c>
      <c r="D316" t="s">
        <v>929</v>
      </c>
      <c r="E316">
        <v>919207</v>
      </c>
      <c r="F316">
        <v>8</v>
      </c>
      <c r="G316">
        <v>11</v>
      </c>
      <c r="H316">
        <v>43</v>
      </c>
      <c r="I316">
        <v>37</v>
      </c>
      <c r="J316" t="s">
        <v>834</v>
      </c>
      <c r="K316" t="s">
        <v>930</v>
      </c>
      <c r="O316" t="str">
        <f t="shared" si="4"/>
        <v>EPL</v>
      </c>
    </row>
    <row r="317" spans="1:15">
      <c r="A317">
        <v>30</v>
      </c>
      <c r="B317" t="s">
        <v>834</v>
      </c>
      <c r="C317" t="s">
        <v>928</v>
      </c>
      <c r="D317" t="s">
        <v>929</v>
      </c>
      <c r="E317">
        <v>919206</v>
      </c>
      <c r="F317">
        <v>8</v>
      </c>
      <c r="G317">
        <v>31</v>
      </c>
      <c r="H317">
        <v>14</v>
      </c>
      <c r="I317">
        <v>48</v>
      </c>
      <c r="J317" t="s">
        <v>834</v>
      </c>
      <c r="K317" t="s">
        <v>930</v>
      </c>
      <c r="O317" t="str">
        <f t="shared" si="4"/>
        <v>EPL</v>
      </c>
    </row>
    <row r="318" spans="1:15">
      <c r="A318">
        <v>30</v>
      </c>
      <c r="B318" t="s">
        <v>834</v>
      </c>
      <c r="C318" t="s">
        <v>928</v>
      </c>
      <c r="D318" t="s">
        <v>929</v>
      </c>
      <c r="E318">
        <v>919203</v>
      </c>
      <c r="F318">
        <v>8</v>
      </c>
      <c r="G318">
        <v>3</v>
      </c>
      <c r="H318">
        <v>110</v>
      </c>
      <c r="I318">
        <v>3250</v>
      </c>
      <c r="J318" t="s">
        <v>834</v>
      </c>
      <c r="K318" t="s">
        <v>930</v>
      </c>
      <c r="O318" t="str">
        <f t="shared" si="4"/>
        <v>EPL</v>
      </c>
    </row>
    <row r="319" spans="1:15">
      <c r="A319">
        <v>30</v>
      </c>
      <c r="B319" t="s">
        <v>834</v>
      </c>
      <c r="C319" t="s">
        <v>928</v>
      </c>
      <c r="D319" t="s">
        <v>929</v>
      </c>
      <c r="E319">
        <v>919204</v>
      </c>
      <c r="F319">
        <v>8</v>
      </c>
      <c r="G319">
        <v>36</v>
      </c>
      <c r="H319">
        <v>13</v>
      </c>
      <c r="I319">
        <v>7403</v>
      </c>
      <c r="J319" t="s">
        <v>834</v>
      </c>
      <c r="K319" t="s">
        <v>930</v>
      </c>
      <c r="O319" t="str">
        <f t="shared" si="4"/>
        <v>EPL</v>
      </c>
    </row>
    <row r="320" spans="1:15">
      <c r="A320">
        <v>30</v>
      </c>
      <c r="B320" t="s">
        <v>834</v>
      </c>
      <c r="C320" t="s">
        <v>928</v>
      </c>
      <c r="D320" t="s">
        <v>929</v>
      </c>
      <c r="E320">
        <v>919205</v>
      </c>
      <c r="F320">
        <v>8</v>
      </c>
      <c r="G320">
        <v>8</v>
      </c>
      <c r="H320">
        <v>6</v>
      </c>
      <c r="I320">
        <v>35</v>
      </c>
      <c r="J320" t="s">
        <v>834</v>
      </c>
      <c r="K320" t="s">
        <v>930</v>
      </c>
      <c r="O320" t="str">
        <f t="shared" si="4"/>
        <v>EPL</v>
      </c>
    </row>
    <row r="321" spans="1:15">
      <c r="A321">
        <v>30</v>
      </c>
      <c r="B321" t="s">
        <v>834</v>
      </c>
      <c r="C321" t="s">
        <v>928</v>
      </c>
      <c r="D321" t="s">
        <v>929</v>
      </c>
      <c r="E321">
        <v>918912</v>
      </c>
      <c r="F321">
        <v>8</v>
      </c>
      <c r="G321">
        <v>21</v>
      </c>
      <c r="H321">
        <v>20</v>
      </c>
      <c r="I321">
        <v>11249</v>
      </c>
      <c r="J321" t="s">
        <v>834</v>
      </c>
      <c r="K321" t="s">
        <v>930</v>
      </c>
      <c r="O321" t="str">
        <f t="shared" si="4"/>
        <v>EPL</v>
      </c>
    </row>
    <row r="322" spans="1:15">
      <c r="A322">
        <v>31</v>
      </c>
      <c r="B322" t="s">
        <v>834</v>
      </c>
      <c r="C322" t="s">
        <v>931</v>
      </c>
      <c r="D322" t="s">
        <v>932</v>
      </c>
      <c r="E322">
        <v>919219</v>
      </c>
      <c r="F322">
        <v>8</v>
      </c>
      <c r="G322">
        <v>43</v>
      </c>
      <c r="H322">
        <v>1</v>
      </c>
      <c r="I322">
        <v>2691</v>
      </c>
      <c r="J322" t="s">
        <v>834</v>
      </c>
      <c r="K322" t="s">
        <v>933</v>
      </c>
      <c r="O322" t="str">
        <f t="shared" si="4"/>
        <v>EPL</v>
      </c>
    </row>
    <row r="323" spans="1:15">
      <c r="A323">
        <v>31</v>
      </c>
      <c r="B323" t="s">
        <v>834</v>
      </c>
      <c r="C323" t="s">
        <v>931</v>
      </c>
      <c r="D323" t="s">
        <v>932</v>
      </c>
      <c r="E323">
        <v>919220</v>
      </c>
      <c r="F323">
        <v>8</v>
      </c>
      <c r="G323">
        <v>110</v>
      </c>
      <c r="H323">
        <v>6</v>
      </c>
      <c r="I323">
        <v>1</v>
      </c>
      <c r="J323" t="s">
        <v>834</v>
      </c>
      <c r="K323" t="s">
        <v>933</v>
      </c>
      <c r="O323" t="str">
        <f t="shared" ref="O323:O381" si="5">VLOOKUP(F323,$Q$3:$R$9,2,0)</f>
        <v>EPL</v>
      </c>
    </row>
    <row r="324" spans="1:15">
      <c r="A324">
        <v>31</v>
      </c>
      <c r="B324" t="s">
        <v>834</v>
      </c>
      <c r="C324" t="s">
        <v>931</v>
      </c>
      <c r="D324" t="s">
        <v>932</v>
      </c>
      <c r="E324">
        <v>919221</v>
      </c>
      <c r="F324">
        <v>8</v>
      </c>
      <c r="G324">
        <v>57</v>
      </c>
      <c r="H324">
        <v>90</v>
      </c>
      <c r="I324">
        <v>73</v>
      </c>
      <c r="J324" t="s">
        <v>834</v>
      </c>
      <c r="K324" t="s">
        <v>933</v>
      </c>
      <c r="O324" t="str">
        <f t="shared" si="5"/>
        <v>EPL</v>
      </c>
    </row>
    <row r="325" spans="1:15">
      <c r="A325">
        <v>31</v>
      </c>
      <c r="B325" t="s">
        <v>834</v>
      </c>
      <c r="C325" t="s">
        <v>931</v>
      </c>
      <c r="D325" t="s">
        <v>932</v>
      </c>
      <c r="E325">
        <v>919222</v>
      </c>
      <c r="F325">
        <v>8</v>
      </c>
      <c r="G325">
        <v>35</v>
      </c>
      <c r="H325">
        <v>80</v>
      </c>
      <c r="I325">
        <v>51</v>
      </c>
      <c r="J325" t="s">
        <v>834</v>
      </c>
      <c r="K325" t="s">
        <v>933</v>
      </c>
      <c r="O325" t="str">
        <f t="shared" si="5"/>
        <v>EPL</v>
      </c>
    </row>
    <row r="326" spans="1:15">
      <c r="A326">
        <v>31</v>
      </c>
      <c r="B326" t="s">
        <v>834</v>
      </c>
      <c r="C326" t="s">
        <v>931</v>
      </c>
      <c r="D326" t="s">
        <v>932</v>
      </c>
      <c r="E326">
        <v>919218</v>
      </c>
      <c r="F326">
        <v>8</v>
      </c>
      <c r="G326">
        <v>13</v>
      </c>
      <c r="H326">
        <v>4</v>
      </c>
      <c r="I326">
        <v>2516</v>
      </c>
      <c r="J326" t="s">
        <v>834</v>
      </c>
      <c r="K326" t="s">
        <v>933</v>
      </c>
      <c r="O326" t="str">
        <f t="shared" si="5"/>
        <v>EPL</v>
      </c>
    </row>
    <row r="327" spans="1:15">
      <c r="A327">
        <v>31</v>
      </c>
      <c r="B327" t="s">
        <v>834</v>
      </c>
      <c r="C327" t="s">
        <v>931</v>
      </c>
      <c r="D327" t="s">
        <v>932</v>
      </c>
      <c r="E327">
        <v>919217</v>
      </c>
      <c r="F327">
        <v>8</v>
      </c>
      <c r="G327">
        <v>11</v>
      </c>
      <c r="H327">
        <v>14</v>
      </c>
      <c r="I327">
        <v>37</v>
      </c>
      <c r="J327" t="s">
        <v>834</v>
      </c>
      <c r="K327" t="s">
        <v>933</v>
      </c>
      <c r="O327" t="str">
        <f t="shared" si="5"/>
        <v>EPL</v>
      </c>
    </row>
    <row r="328" spans="1:15">
      <c r="A328">
        <v>31</v>
      </c>
      <c r="B328" t="s">
        <v>834</v>
      </c>
      <c r="C328" t="s">
        <v>931</v>
      </c>
      <c r="D328" t="s">
        <v>932</v>
      </c>
      <c r="E328">
        <v>919214</v>
      </c>
      <c r="F328">
        <v>8</v>
      </c>
      <c r="G328">
        <v>3</v>
      </c>
      <c r="H328">
        <v>20</v>
      </c>
      <c r="I328">
        <v>3250</v>
      </c>
      <c r="J328" t="s">
        <v>834</v>
      </c>
      <c r="K328" t="s">
        <v>933</v>
      </c>
      <c r="O328" t="str">
        <f t="shared" si="5"/>
        <v>EPL</v>
      </c>
    </row>
    <row r="329" spans="1:15">
      <c r="A329">
        <v>31</v>
      </c>
      <c r="B329" t="s">
        <v>834</v>
      </c>
      <c r="C329" t="s">
        <v>931</v>
      </c>
      <c r="D329" t="s">
        <v>932</v>
      </c>
      <c r="E329">
        <v>919215</v>
      </c>
      <c r="F329">
        <v>8</v>
      </c>
      <c r="G329">
        <v>36</v>
      </c>
      <c r="H329">
        <v>38</v>
      </c>
      <c r="I329">
        <v>7403</v>
      </c>
      <c r="J329" t="s">
        <v>834</v>
      </c>
      <c r="K329" t="s">
        <v>933</v>
      </c>
      <c r="O329" t="str">
        <f t="shared" si="5"/>
        <v>EPL</v>
      </c>
    </row>
    <row r="330" spans="1:15">
      <c r="A330">
        <v>31</v>
      </c>
      <c r="B330" t="s">
        <v>834</v>
      </c>
      <c r="C330" t="s">
        <v>931</v>
      </c>
      <c r="D330" t="s">
        <v>932</v>
      </c>
      <c r="E330">
        <v>919216</v>
      </c>
      <c r="F330">
        <v>8</v>
      </c>
      <c r="G330">
        <v>8</v>
      </c>
      <c r="H330">
        <v>21</v>
      </c>
      <c r="I330">
        <v>35</v>
      </c>
      <c r="J330" t="s">
        <v>834</v>
      </c>
      <c r="K330" t="s">
        <v>933</v>
      </c>
      <c r="O330" t="str">
        <f t="shared" si="5"/>
        <v>EPL</v>
      </c>
    </row>
    <row r="331" spans="1:15">
      <c r="A331">
        <v>31</v>
      </c>
      <c r="B331" t="s">
        <v>834</v>
      </c>
      <c r="C331" t="s">
        <v>931</v>
      </c>
      <c r="D331" t="s">
        <v>932</v>
      </c>
      <c r="E331">
        <v>919213</v>
      </c>
      <c r="F331">
        <v>8</v>
      </c>
      <c r="G331">
        <v>91</v>
      </c>
      <c r="H331">
        <v>31</v>
      </c>
      <c r="I331">
        <v>2734</v>
      </c>
      <c r="J331" t="s">
        <v>834</v>
      </c>
      <c r="K331" t="s">
        <v>933</v>
      </c>
      <c r="O331" t="str">
        <f t="shared" si="5"/>
        <v>EPL</v>
      </c>
    </row>
    <row r="332" spans="1:15">
      <c r="A332">
        <v>32</v>
      </c>
      <c r="B332" t="s">
        <v>834</v>
      </c>
      <c r="C332" t="s">
        <v>934</v>
      </c>
      <c r="D332" t="s">
        <v>935</v>
      </c>
      <c r="E332">
        <v>919229</v>
      </c>
      <c r="F332">
        <v>8</v>
      </c>
      <c r="G332">
        <v>20</v>
      </c>
      <c r="H332">
        <v>8</v>
      </c>
      <c r="I332">
        <v>2370</v>
      </c>
      <c r="J332" t="s">
        <v>834</v>
      </c>
      <c r="K332" t="s">
        <v>936</v>
      </c>
      <c r="O332" t="str">
        <f t="shared" si="5"/>
        <v>EPL</v>
      </c>
    </row>
    <row r="333" spans="1:15">
      <c r="A333">
        <v>32</v>
      </c>
      <c r="B333" t="s">
        <v>834</v>
      </c>
      <c r="C333" t="s">
        <v>934</v>
      </c>
      <c r="D333" t="s">
        <v>935</v>
      </c>
      <c r="E333">
        <v>919230</v>
      </c>
      <c r="F333">
        <v>8</v>
      </c>
      <c r="G333">
        <v>80</v>
      </c>
      <c r="H333">
        <v>11</v>
      </c>
      <c r="I333">
        <v>2867</v>
      </c>
      <c r="J333" t="s">
        <v>834</v>
      </c>
      <c r="K333" t="s">
        <v>936</v>
      </c>
      <c r="O333" t="str">
        <f t="shared" si="5"/>
        <v>EPL</v>
      </c>
    </row>
    <row r="334" spans="1:15">
      <c r="A334">
        <v>32</v>
      </c>
      <c r="B334" t="s">
        <v>834</v>
      </c>
      <c r="C334" t="s">
        <v>934</v>
      </c>
      <c r="D334" t="s">
        <v>935</v>
      </c>
      <c r="E334">
        <v>919231</v>
      </c>
      <c r="F334">
        <v>8</v>
      </c>
      <c r="G334">
        <v>6</v>
      </c>
      <c r="H334">
        <v>43</v>
      </c>
      <c r="I334">
        <v>5</v>
      </c>
      <c r="J334" t="s">
        <v>834</v>
      </c>
      <c r="K334" t="s">
        <v>936</v>
      </c>
      <c r="O334" t="str">
        <f t="shared" si="5"/>
        <v>EPL</v>
      </c>
    </row>
    <row r="335" spans="1:15">
      <c r="A335">
        <v>32</v>
      </c>
      <c r="B335" t="s">
        <v>834</v>
      </c>
      <c r="C335" t="s">
        <v>934</v>
      </c>
      <c r="D335" t="s">
        <v>935</v>
      </c>
      <c r="E335">
        <v>919232</v>
      </c>
      <c r="F335">
        <v>8</v>
      </c>
      <c r="G335">
        <v>21</v>
      </c>
      <c r="H335">
        <v>110</v>
      </c>
      <c r="I335">
        <v>11249</v>
      </c>
      <c r="J335" t="s">
        <v>834</v>
      </c>
      <c r="K335" t="s">
        <v>936</v>
      </c>
      <c r="O335" t="str">
        <f t="shared" si="5"/>
        <v>EPL</v>
      </c>
    </row>
    <row r="336" spans="1:15">
      <c r="A336">
        <v>32</v>
      </c>
      <c r="B336" t="s">
        <v>834</v>
      </c>
      <c r="C336" t="s">
        <v>934</v>
      </c>
      <c r="D336" t="s">
        <v>935</v>
      </c>
      <c r="E336">
        <v>919228</v>
      </c>
      <c r="F336">
        <v>8</v>
      </c>
      <c r="G336">
        <v>4</v>
      </c>
      <c r="H336">
        <v>3</v>
      </c>
      <c r="I336">
        <v>31</v>
      </c>
      <c r="J336" t="s">
        <v>834</v>
      </c>
      <c r="K336" t="s">
        <v>936</v>
      </c>
      <c r="O336" t="str">
        <f t="shared" si="5"/>
        <v>EPL</v>
      </c>
    </row>
    <row r="337" spans="1:15">
      <c r="A337">
        <v>32</v>
      </c>
      <c r="B337" t="s">
        <v>834</v>
      </c>
      <c r="C337" t="s">
        <v>934</v>
      </c>
      <c r="D337" t="s">
        <v>935</v>
      </c>
      <c r="E337">
        <v>919227</v>
      </c>
      <c r="F337">
        <v>8</v>
      </c>
      <c r="G337">
        <v>1</v>
      </c>
      <c r="H337">
        <v>35</v>
      </c>
      <c r="I337">
        <v>28</v>
      </c>
      <c r="J337" t="s">
        <v>834</v>
      </c>
      <c r="K337" t="s">
        <v>936</v>
      </c>
      <c r="O337" t="str">
        <f t="shared" si="5"/>
        <v>EPL</v>
      </c>
    </row>
    <row r="338" spans="1:15">
      <c r="A338">
        <v>32</v>
      </c>
      <c r="B338" t="s">
        <v>834</v>
      </c>
      <c r="C338" t="s">
        <v>934</v>
      </c>
      <c r="D338" t="s">
        <v>935</v>
      </c>
      <c r="E338">
        <v>919224</v>
      </c>
      <c r="F338">
        <v>8</v>
      </c>
      <c r="G338">
        <v>31</v>
      </c>
      <c r="H338">
        <v>36</v>
      </c>
      <c r="I338">
        <v>48</v>
      </c>
      <c r="J338" t="s">
        <v>834</v>
      </c>
      <c r="K338" t="s">
        <v>936</v>
      </c>
      <c r="O338" t="str">
        <f t="shared" si="5"/>
        <v>EPL</v>
      </c>
    </row>
    <row r="339" spans="1:15">
      <c r="A339">
        <v>32</v>
      </c>
      <c r="B339" t="s">
        <v>834</v>
      </c>
      <c r="C339" t="s">
        <v>934</v>
      </c>
      <c r="D339" t="s">
        <v>935</v>
      </c>
      <c r="E339">
        <v>919225</v>
      </c>
      <c r="F339">
        <v>8</v>
      </c>
      <c r="G339">
        <v>38</v>
      </c>
      <c r="H339">
        <v>57</v>
      </c>
      <c r="I339">
        <v>54</v>
      </c>
      <c r="J339" t="s">
        <v>834</v>
      </c>
      <c r="K339" t="s">
        <v>936</v>
      </c>
      <c r="O339" t="str">
        <f t="shared" si="5"/>
        <v>EPL</v>
      </c>
    </row>
    <row r="340" spans="1:15">
      <c r="A340">
        <v>32</v>
      </c>
      <c r="B340" t="s">
        <v>834</v>
      </c>
      <c r="C340" t="s">
        <v>934</v>
      </c>
      <c r="D340" t="s">
        <v>935</v>
      </c>
      <c r="E340">
        <v>919226</v>
      </c>
      <c r="F340">
        <v>8</v>
      </c>
      <c r="G340">
        <v>14</v>
      </c>
      <c r="H340">
        <v>91</v>
      </c>
      <c r="I340">
        <v>39</v>
      </c>
      <c r="J340" t="s">
        <v>834</v>
      </c>
      <c r="K340" t="s">
        <v>936</v>
      </c>
      <c r="O340" t="str">
        <f t="shared" si="5"/>
        <v>EPL</v>
      </c>
    </row>
    <row r="341" spans="1:15">
      <c r="A341">
        <v>32</v>
      </c>
      <c r="B341" t="s">
        <v>834</v>
      </c>
      <c r="C341" t="s">
        <v>934</v>
      </c>
      <c r="D341" t="s">
        <v>935</v>
      </c>
      <c r="E341">
        <v>919223</v>
      </c>
      <c r="F341">
        <v>8</v>
      </c>
      <c r="G341">
        <v>90</v>
      </c>
      <c r="H341">
        <v>13</v>
      </c>
      <c r="I341">
        <v>88</v>
      </c>
      <c r="J341" t="s">
        <v>834</v>
      </c>
      <c r="K341" t="s">
        <v>936</v>
      </c>
      <c r="O341" t="str">
        <f t="shared" si="5"/>
        <v>EPL</v>
      </c>
    </row>
    <row r="342" spans="1:15">
      <c r="A342">
        <v>33</v>
      </c>
      <c r="B342" t="s">
        <v>834</v>
      </c>
      <c r="C342" t="s">
        <v>937</v>
      </c>
      <c r="D342" t="s">
        <v>938</v>
      </c>
      <c r="E342">
        <v>919239</v>
      </c>
      <c r="F342">
        <v>8</v>
      </c>
      <c r="G342">
        <v>43</v>
      </c>
      <c r="H342">
        <v>80</v>
      </c>
      <c r="I342">
        <v>2691</v>
      </c>
      <c r="J342" t="s">
        <v>834</v>
      </c>
      <c r="K342" t="s">
        <v>939</v>
      </c>
      <c r="O342" t="str">
        <f t="shared" si="5"/>
        <v>EPL</v>
      </c>
    </row>
    <row r="343" spans="1:15">
      <c r="A343">
        <v>33</v>
      </c>
      <c r="B343" t="s">
        <v>834</v>
      </c>
      <c r="C343" t="s">
        <v>937</v>
      </c>
      <c r="D343" t="s">
        <v>938</v>
      </c>
      <c r="E343">
        <v>919240</v>
      </c>
      <c r="F343">
        <v>8</v>
      </c>
      <c r="G343">
        <v>110</v>
      </c>
      <c r="H343">
        <v>90</v>
      </c>
      <c r="I343">
        <v>1</v>
      </c>
      <c r="J343" t="s">
        <v>834</v>
      </c>
      <c r="K343" t="s">
        <v>939</v>
      </c>
      <c r="O343" t="str">
        <f t="shared" si="5"/>
        <v>EPL</v>
      </c>
    </row>
    <row r="344" spans="1:15">
      <c r="A344">
        <v>33</v>
      </c>
      <c r="B344" t="s">
        <v>834</v>
      </c>
      <c r="C344" t="s">
        <v>937</v>
      </c>
      <c r="D344" t="s">
        <v>938</v>
      </c>
      <c r="E344">
        <v>919241</v>
      </c>
      <c r="F344">
        <v>8</v>
      </c>
      <c r="G344">
        <v>57</v>
      </c>
      <c r="H344">
        <v>31</v>
      </c>
      <c r="I344">
        <v>73</v>
      </c>
      <c r="J344" t="s">
        <v>834</v>
      </c>
      <c r="K344" t="s">
        <v>939</v>
      </c>
      <c r="O344" t="str">
        <f t="shared" si="5"/>
        <v>EPL</v>
      </c>
    </row>
    <row r="345" spans="1:15">
      <c r="A345">
        <v>33</v>
      </c>
      <c r="B345" t="s">
        <v>834</v>
      </c>
      <c r="C345" t="s">
        <v>937</v>
      </c>
      <c r="D345" t="s">
        <v>938</v>
      </c>
      <c r="E345">
        <v>919242</v>
      </c>
      <c r="F345">
        <v>8</v>
      </c>
      <c r="G345">
        <v>35</v>
      </c>
      <c r="H345">
        <v>14</v>
      </c>
      <c r="I345">
        <v>51</v>
      </c>
      <c r="J345" t="s">
        <v>834</v>
      </c>
      <c r="K345" t="s">
        <v>939</v>
      </c>
      <c r="O345" t="str">
        <f t="shared" si="5"/>
        <v>EPL</v>
      </c>
    </row>
    <row r="346" spans="1:15">
      <c r="A346">
        <v>33</v>
      </c>
      <c r="B346" t="s">
        <v>834</v>
      </c>
      <c r="C346" t="s">
        <v>937</v>
      </c>
      <c r="D346" t="s">
        <v>938</v>
      </c>
      <c r="E346">
        <v>919238</v>
      </c>
      <c r="F346">
        <v>8</v>
      </c>
      <c r="G346">
        <v>13</v>
      </c>
      <c r="H346">
        <v>20</v>
      </c>
      <c r="I346">
        <v>2516</v>
      </c>
      <c r="J346" t="s">
        <v>834</v>
      </c>
      <c r="K346" t="s">
        <v>939</v>
      </c>
      <c r="O346" t="str">
        <f t="shared" si="5"/>
        <v>EPL</v>
      </c>
    </row>
    <row r="347" spans="1:15">
      <c r="A347">
        <v>33</v>
      </c>
      <c r="B347" t="s">
        <v>834</v>
      </c>
      <c r="C347" t="s">
        <v>937</v>
      </c>
      <c r="D347" t="s">
        <v>938</v>
      </c>
      <c r="E347">
        <v>919237</v>
      </c>
      <c r="F347">
        <v>8</v>
      </c>
      <c r="G347">
        <v>11</v>
      </c>
      <c r="H347">
        <v>4</v>
      </c>
      <c r="I347">
        <v>37</v>
      </c>
      <c r="J347" t="s">
        <v>834</v>
      </c>
      <c r="K347" t="s">
        <v>939</v>
      </c>
      <c r="O347" t="str">
        <f t="shared" si="5"/>
        <v>EPL</v>
      </c>
    </row>
    <row r="348" spans="1:15">
      <c r="A348">
        <v>33</v>
      </c>
      <c r="B348" t="s">
        <v>834</v>
      </c>
      <c r="C348" t="s">
        <v>937</v>
      </c>
      <c r="D348" t="s">
        <v>938</v>
      </c>
      <c r="E348">
        <v>919234</v>
      </c>
      <c r="F348">
        <v>8</v>
      </c>
      <c r="G348">
        <v>3</v>
      </c>
      <c r="H348">
        <v>21</v>
      </c>
      <c r="I348">
        <v>3250</v>
      </c>
      <c r="J348" t="s">
        <v>834</v>
      </c>
      <c r="K348" t="s">
        <v>939</v>
      </c>
      <c r="O348" t="str">
        <f t="shared" si="5"/>
        <v>EPL</v>
      </c>
    </row>
    <row r="349" spans="1:15">
      <c r="A349">
        <v>33</v>
      </c>
      <c r="B349" t="s">
        <v>834</v>
      </c>
      <c r="C349" t="s">
        <v>937</v>
      </c>
      <c r="D349" t="s">
        <v>938</v>
      </c>
      <c r="E349">
        <v>919235</v>
      </c>
      <c r="F349">
        <v>8</v>
      </c>
      <c r="G349">
        <v>36</v>
      </c>
      <c r="H349">
        <v>6</v>
      </c>
      <c r="I349">
        <v>7403</v>
      </c>
      <c r="J349" t="s">
        <v>834</v>
      </c>
      <c r="K349" t="s">
        <v>939</v>
      </c>
      <c r="O349" t="str">
        <f t="shared" si="5"/>
        <v>EPL</v>
      </c>
    </row>
    <row r="350" spans="1:15">
      <c r="A350">
        <v>33</v>
      </c>
      <c r="B350" t="s">
        <v>834</v>
      </c>
      <c r="C350" t="s">
        <v>937</v>
      </c>
      <c r="D350" t="s">
        <v>938</v>
      </c>
      <c r="E350">
        <v>919236</v>
      </c>
      <c r="F350">
        <v>8</v>
      </c>
      <c r="G350">
        <v>8</v>
      </c>
      <c r="H350">
        <v>38</v>
      </c>
      <c r="I350">
        <v>35</v>
      </c>
      <c r="J350" t="s">
        <v>834</v>
      </c>
      <c r="K350" t="s">
        <v>939</v>
      </c>
      <c r="O350" t="str">
        <f t="shared" si="5"/>
        <v>EPL</v>
      </c>
    </row>
    <row r="351" spans="1:15">
      <c r="A351">
        <v>33</v>
      </c>
      <c r="B351" t="s">
        <v>834</v>
      </c>
      <c r="C351" t="s">
        <v>937</v>
      </c>
      <c r="D351" t="s">
        <v>938</v>
      </c>
      <c r="E351">
        <v>919233</v>
      </c>
      <c r="F351">
        <v>8</v>
      </c>
      <c r="G351">
        <v>91</v>
      </c>
      <c r="H351">
        <v>1</v>
      </c>
      <c r="I351">
        <v>2734</v>
      </c>
      <c r="J351" t="s">
        <v>834</v>
      </c>
      <c r="K351" t="s">
        <v>939</v>
      </c>
      <c r="O351" t="str">
        <f t="shared" si="5"/>
        <v>EPL</v>
      </c>
    </row>
    <row r="352" spans="1:15">
      <c r="A352">
        <v>34</v>
      </c>
      <c r="B352" t="s">
        <v>834</v>
      </c>
      <c r="C352" t="s">
        <v>940</v>
      </c>
      <c r="D352" t="s">
        <v>941</v>
      </c>
      <c r="E352">
        <v>919249</v>
      </c>
      <c r="F352">
        <v>8</v>
      </c>
      <c r="G352">
        <v>20</v>
      </c>
      <c r="H352">
        <v>91</v>
      </c>
      <c r="I352">
        <v>2370</v>
      </c>
      <c r="J352" t="s">
        <v>834</v>
      </c>
      <c r="K352" t="s">
        <v>942</v>
      </c>
      <c r="O352" t="str">
        <f t="shared" si="5"/>
        <v>EPL</v>
      </c>
    </row>
    <row r="353" spans="1:15">
      <c r="A353">
        <v>34</v>
      </c>
      <c r="B353" t="s">
        <v>834</v>
      </c>
      <c r="C353" t="s">
        <v>940</v>
      </c>
      <c r="D353" t="s">
        <v>941</v>
      </c>
      <c r="E353">
        <v>919250</v>
      </c>
      <c r="F353">
        <v>8</v>
      </c>
      <c r="G353">
        <v>80</v>
      </c>
      <c r="H353">
        <v>8</v>
      </c>
      <c r="I353">
        <v>2867</v>
      </c>
      <c r="J353" t="s">
        <v>834</v>
      </c>
      <c r="K353" t="s">
        <v>942</v>
      </c>
      <c r="O353" t="str">
        <f t="shared" si="5"/>
        <v>EPL</v>
      </c>
    </row>
    <row r="354" spans="1:15">
      <c r="A354">
        <v>34</v>
      </c>
      <c r="B354" t="s">
        <v>834</v>
      </c>
      <c r="C354" t="s">
        <v>940</v>
      </c>
      <c r="D354" t="s">
        <v>941</v>
      </c>
      <c r="E354">
        <v>919251</v>
      </c>
      <c r="F354">
        <v>8</v>
      </c>
      <c r="G354">
        <v>6</v>
      </c>
      <c r="H354">
        <v>57</v>
      </c>
      <c r="I354">
        <v>5</v>
      </c>
      <c r="J354" t="s">
        <v>834</v>
      </c>
      <c r="K354" t="s">
        <v>942</v>
      </c>
      <c r="O354" t="str">
        <f t="shared" si="5"/>
        <v>EPL</v>
      </c>
    </row>
    <row r="355" spans="1:15">
      <c r="A355">
        <v>34</v>
      </c>
      <c r="B355" t="s">
        <v>834</v>
      </c>
      <c r="C355" t="s">
        <v>940</v>
      </c>
      <c r="D355" t="s">
        <v>941</v>
      </c>
      <c r="E355">
        <v>919252</v>
      </c>
      <c r="F355">
        <v>8</v>
      </c>
      <c r="G355">
        <v>21</v>
      </c>
      <c r="H355">
        <v>43</v>
      </c>
      <c r="I355">
        <v>11249</v>
      </c>
      <c r="J355" t="s">
        <v>834</v>
      </c>
      <c r="K355" t="s">
        <v>942</v>
      </c>
      <c r="O355" t="str">
        <f t="shared" si="5"/>
        <v>EPL</v>
      </c>
    </row>
    <row r="356" spans="1:15">
      <c r="A356">
        <v>34</v>
      </c>
      <c r="B356" t="s">
        <v>834</v>
      </c>
      <c r="C356" t="s">
        <v>940</v>
      </c>
      <c r="D356" t="s">
        <v>941</v>
      </c>
      <c r="E356">
        <v>919248</v>
      </c>
      <c r="F356">
        <v>8</v>
      </c>
      <c r="G356">
        <v>4</v>
      </c>
      <c r="H356">
        <v>35</v>
      </c>
      <c r="I356">
        <v>31</v>
      </c>
      <c r="J356" t="s">
        <v>834</v>
      </c>
      <c r="K356" t="s">
        <v>942</v>
      </c>
      <c r="O356" t="str">
        <f t="shared" si="5"/>
        <v>EPL</v>
      </c>
    </row>
    <row r="357" spans="1:15">
      <c r="A357">
        <v>34</v>
      </c>
      <c r="B357" t="s">
        <v>834</v>
      </c>
      <c r="C357" t="s">
        <v>940</v>
      </c>
      <c r="D357" t="s">
        <v>941</v>
      </c>
      <c r="E357">
        <v>919247</v>
      </c>
      <c r="F357">
        <v>8</v>
      </c>
      <c r="G357">
        <v>1</v>
      </c>
      <c r="H357">
        <v>3</v>
      </c>
      <c r="I357">
        <v>28</v>
      </c>
      <c r="J357" t="s">
        <v>834</v>
      </c>
      <c r="K357" t="s">
        <v>942</v>
      </c>
      <c r="O357" t="str">
        <f t="shared" si="5"/>
        <v>EPL</v>
      </c>
    </row>
    <row r="358" spans="1:15">
      <c r="A358">
        <v>34</v>
      </c>
      <c r="B358" t="s">
        <v>834</v>
      </c>
      <c r="C358" t="s">
        <v>940</v>
      </c>
      <c r="D358" t="s">
        <v>941</v>
      </c>
      <c r="E358">
        <v>919244</v>
      </c>
      <c r="F358">
        <v>8</v>
      </c>
      <c r="G358">
        <v>31</v>
      </c>
      <c r="H358">
        <v>13</v>
      </c>
      <c r="I358">
        <v>48</v>
      </c>
      <c r="J358" t="s">
        <v>834</v>
      </c>
      <c r="K358" t="s">
        <v>942</v>
      </c>
      <c r="O358" t="str">
        <f t="shared" si="5"/>
        <v>EPL</v>
      </c>
    </row>
    <row r="359" spans="1:15">
      <c r="A359">
        <v>34</v>
      </c>
      <c r="B359" t="s">
        <v>834</v>
      </c>
      <c r="C359" t="s">
        <v>940</v>
      </c>
      <c r="D359" t="s">
        <v>941</v>
      </c>
      <c r="E359">
        <v>919245</v>
      </c>
      <c r="F359">
        <v>8</v>
      </c>
      <c r="G359">
        <v>38</v>
      </c>
      <c r="H359">
        <v>11</v>
      </c>
      <c r="I359">
        <v>54</v>
      </c>
      <c r="J359" t="s">
        <v>834</v>
      </c>
      <c r="K359" t="s">
        <v>942</v>
      </c>
      <c r="O359" t="str">
        <f t="shared" si="5"/>
        <v>EPL</v>
      </c>
    </row>
    <row r="360" spans="1:15">
      <c r="A360">
        <v>34</v>
      </c>
      <c r="B360" t="s">
        <v>834</v>
      </c>
      <c r="C360" t="s">
        <v>940</v>
      </c>
      <c r="D360" t="s">
        <v>941</v>
      </c>
      <c r="E360">
        <v>919246</v>
      </c>
      <c r="F360">
        <v>8</v>
      </c>
      <c r="G360">
        <v>14</v>
      </c>
      <c r="H360">
        <v>110</v>
      </c>
      <c r="I360">
        <v>39</v>
      </c>
      <c r="J360" t="s">
        <v>834</v>
      </c>
      <c r="K360" t="s">
        <v>942</v>
      </c>
      <c r="O360" t="str">
        <f t="shared" si="5"/>
        <v>EPL</v>
      </c>
    </row>
    <row r="361" spans="1:15">
      <c r="A361">
        <v>34</v>
      </c>
      <c r="B361" t="s">
        <v>834</v>
      </c>
      <c r="C361" t="s">
        <v>940</v>
      </c>
      <c r="D361" t="s">
        <v>941</v>
      </c>
      <c r="E361">
        <v>919243</v>
      </c>
      <c r="F361">
        <v>8</v>
      </c>
      <c r="G361">
        <v>90</v>
      </c>
      <c r="H361">
        <v>36</v>
      </c>
      <c r="I361">
        <v>88</v>
      </c>
      <c r="J361" t="s">
        <v>834</v>
      </c>
      <c r="K361" t="s">
        <v>942</v>
      </c>
      <c r="O361" t="str">
        <f t="shared" si="5"/>
        <v>EPL</v>
      </c>
    </row>
    <row r="362" spans="1:15">
      <c r="A362">
        <v>35</v>
      </c>
      <c r="B362" t="s">
        <v>834</v>
      </c>
      <c r="C362" t="s">
        <v>943</v>
      </c>
      <c r="D362" t="s">
        <v>944</v>
      </c>
      <c r="E362">
        <v>919259</v>
      </c>
      <c r="F362">
        <v>8</v>
      </c>
      <c r="G362">
        <v>43</v>
      </c>
      <c r="H362">
        <v>38</v>
      </c>
      <c r="I362">
        <v>2691</v>
      </c>
      <c r="J362" t="s">
        <v>834</v>
      </c>
      <c r="K362" t="s">
        <v>945</v>
      </c>
      <c r="O362" t="str">
        <f t="shared" si="5"/>
        <v>EPL</v>
      </c>
    </row>
    <row r="363" spans="1:15">
      <c r="A363">
        <v>35</v>
      </c>
      <c r="B363" t="s">
        <v>834</v>
      </c>
      <c r="C363" t="s">
        <v>943</v>
      </c>
      <c r="D363" t="s">
        <v>944</v>
      </c>
      <c r="E363">
        <v>919260</v>
      </c>
      <c r="F363">
        <v>8</v>
      </c>
      <c r="G363">
        <v>110</v>
      </c>
      <c r="H363">
        <v>31</v>
      </c>
      <c r="I363">
        <v>1</v>
      </c>
      <c r="J363" t="s">
        <v>834</v>
      </c>
      <c r="K363" t="s">
        <v>945</v>
      </c>
      <c r="O363" t="str">
        <f t="shared" si="5"/>
        <v>EPL</v>
      </c>
    </row>
    <row r="364" spans="1:15">
      <c r="A364">
        <v>35</v>
      </c>
      <c r="B364" t="s">
        <v>834</v>
      </c>
      <c r="C364" t="s">
        <v>943</v>
      </c>
      <c r="D364" t="s">
        <v>944</v>
      </c>
      <c r="E364">
        <v>919261</v>
      </c>
      <c r="F364">
        <v>8</v>
      </c>
      <c r="G364">
        <v>57</v>
      </c>
      <c r="H364">
        <v>4</v>
      </c>
      <c r="I364">
        <v>73</v>
      </c>
      <c r="J364" t="s">
        <v>834</v>
      </c>
      <c r="K364" t="s">
        <v>945</v>
      </c>
      <c r="O364" t="str">
        <f t="shared" si="5"/>
        <v>EPL</v>
      </c>
    </row>
    <row r="365" spans="1:15">
      <c r="A365">
        <v>35</v>
      </c>
      <c r="B365" t="s">
        <v>834</v>
      </c>
      <c r="C365" t="s">
        <v>943</v>
      </c>
      <c r="D365" t="s">
        <v>944</v>
      </c>
      <c r="E365">
        <v>919262</v>
      </c>
      <c r="F365">
        <v>8</v>
      </c>
      <c r="G365">
        <v>35</v>
      </c>
      <c r="H365">
        <v>6</v>
      </c>
      <c r="I365">
        <v>51</v>
      </c>
      <c r="J365" t="s">
        <v>834</v>
      </c>
      <c r="K365" t="s">
        <v>945</v>
      </c>
      <c r="O365" t="str">
        <f t="shared" si="5"/>
        <v>EPL</v>
      </c>
    </row>
    <row r="366" spans="1:15">
      <c r="A366">
        <v>35</v>
      </c>
      <c r="B366" t="s">
        <v>834</v>
      </c>
      <c r="C366" t="s">
        <v>943</v>
      </c>
      <c r="D366" t="s">
        <v>944</v>
      </c>
      <c r="E366">
        <v>919258</v>
      </c>
      <c r="F366">
        <v>8</v>
      </c>
      <c r="G366">
        <v>13</v>
      </c>
      <c r="H366">
        <v>21</v>
      </c>
      <c r="I366">
        <v>2516</v>
      </c>
      <c r="J366" t="s">
        <v>834</v>
      </c>
      <c r="K366" t="s">
        <v>945</v>
      </c>
      <c r="O366" t="str">
        <f t="shared" si="5"/>
        <v>EPL</v>
      </c>
    </row>
    <row r="367" spans="1:15">
      <c r="A367">
        <v>35</v>
      </c>
      <c r="B367" t="s">
        <v>834</v>
      </c>
      <c r="C367" t="s">
        <v>943</v>
      </c>
      <c r="D367" t="s">
        <v>944</v>
      </c>
      <c r="E367">
        <v>919257</v>
      </c>
      <c r="F367">
        <v>8</v>
      </c>
      <c r="G367">
        <v>11</v>
      </c>
      <c r="H367">
        <v>20</v>
      </c>
      <c r="I367">
        <v>37</v>
      </c>
      <c r="J367" t="s">
        <v>834</v>
      </c>
      <c r="K367" t="s">
        <v>945</v>
      </c>
      <c r="O367" t="str">
        <f t="shared" si="5"/>
        <v>EPL</v>
      </c>
    </row>
    <row r="368" spans="1:15">
      <c r="A368">
        <v>35</v>
      </c>
      <c r="B368" t="s">
        <v>834</v>
      </c>
      <c r="C368" t="s">
        <v>943</v>
      </c>
      <c r="D368" t="s">
        <v>944</v>
      </c>
      <c r="E368">
        <v>919254</v>
      </c>
      <c r="F368">
        <v>8</v>
      </c>
      <c r="G368">
        <v>3</v>
      </c>
      <c r="H368">
        <v>90</v>
      </c>
      <c r="I368">
        <v>3250</v>
      </c>
      <c r="J368" t="s">
        <v>834</v>
      </c>
      <c r="K368" t="s">
        <v>945</v>
      </c>
      <c r="O368" t="str">
        <f t="shared" si="5"/>
        <v>EPL</v>
      </c>
    </row>
    <row r="369" spans="1:15">
      <c r="A369">
        <v>35</v>
      </c>
      <c r="B369" t="s">
        <v>834</v>
      </c>
      <c r="C369" t="s">
        <v>943</v>
      </c>
      <c r="D369" t="s">
        <v>944</v>
      </c>
      <c r="E369">
        <v>919255</v>
      </c>
      <c r="F369">
        <v>8</v>
      </c>
      <c r="G369">
        <v>36</v>
      </c>
      <c r="H369">
        <v>1</v>
      </c>
      <c r="I369">
        <v>7403</v>
      </c>
      <c r="J369" t="s">
        <v>834</v>
      </c>
      <c r="K369" t="s">
        <v>945</v>
      </c>
      <c r="O369" t="str">
        <f t="shared" si="5"/>
        <v>EPL</v>
      </c>
    </row>
    <row r="370" spans="1:15">
      <c r="A370">
        <v>35</v>
      </c>
      <c r="B370" t="s">
        <v>834</v>
      </c>
      <c r="C370" t="s">
        <v>943</v>
      </c>
      <c r="D370" t="s">
        <v>944</v>
      </c>
      <c r="E370">
        <v>919256</v>
      </c>
      <c r="F370">
        <v>8</v>
      </c>
      <c r="G370">
        <v>8</v>
      </c>
      <c r="H370">
        <v>14</v>
      </c>
      <c r="I370">
        <v>35</v>
      </c>
      <c r="J370" t="s">
        <v>834</v>
      </c>
      <c r="K370" t="s">
        <v>945</v>
      </c>
      <c r="O370" t="str">
        <f t="shared" si="5"/>
        <v>EPL</v>
      </c>
    </row>
    <row r="371" spans="1:15">
      <c r="A371">
        <v>35</v>
      </c>
      <c r="B371" t="s">
        <v>834</v>
      </c>
      <c r="C371" t="s">
        <v>943</v>
      </c>
      <c r="D371" t="s">
        <v>944</v>
      </c>
      <c r="E371">
        <v>919253</v>
      </c>
      <c r="F371">
        <v>8</v>
      </c>
      <c r="G371">
        <v>91</v>
      </c>
      <c r="H371">
        <v>80</v>
      </c>
      <c r="I371">
        <v>2734</v>
      </c>
      <c r="J371" t="s">
        <v>834</v>
      </c>
      <c r="K371" t="s">
        <v>945</v>
      </c>
      <c r="O371" t="str">
        <f t="shared" si="5"/>
        <v>EPL</v>
      </c>
    </row>
    <row r="372" spans="1:15">
      <c r="A372">
        <v>36</v>
      </c>
      <c r="B372" t="s">
        <v>834</v>
      </c>
      <c r="C372" t="s">
        <v>946</v>
      </c>
      <c r="D372" t="s">
        <v>947</v>
      </c>
      <c r="E372">
        <v>919269</v>
      </c>
      <c r="F372">
        <v>8</v>
      </c>
      <c r="G372">
        <v>20</v>
      </c>
      <c r="H372">
        <v>43</v>
      </c>
      <c r="I372">
        <v>2370</v>
      </c>
      <c r="J372" t="s">
        <v>834</v>
      </c>
      <c r="K372" t="s">
        <v>948</v>
      </c>
      <c r="O372" t="str">
        <f t="shared" si="5"/>
        <v>EPL</v>
      </c>
    </row>
    <row r="373" spans="1:15">
      <c r="A373">
        <v>36</v>
      </c>
      <c r="B373" t="s">
        <v>834</v>
      </c>
      <c r="C373" t="s">
        <v>946</v>
      </c>
      <c r="D373" t="s">
        <v>947</v>
      </c>
      <c r="E373">
        <v>919270</v>
      </c>
      <c r="F373">
        <v>8</v>
      </c>
      <c r="G373">
        <v>80</v>
      </c>
      <c r="H373">
        <v>110</v>
      </c>
      <c r="I373">
        <v>2867</v>
      </c>
      <c r="J373" t="s">
        <v>834</v>
      </c>
      <c r="K373" t="s">
        <v>948</v>
      </c>
      <c r="O373" t="str">
        <f t="shared" si="5"/>
        <v>EPL</v>
      </c>
    </row>
    <row r="374" spans="1:15">
      <c r="A374">
        <v>36</v>
      </c>
      <c r="B374" t="s">
        <v>834</v>
      </c>
      <c r="C374" t="s">
        <v>946</v>
      </c>
      <c r="D374" t="s">
        <v>947</v>
      </c>
      <c r="E374">
        <v>919271</v>
      </c>
      <c r="F374">
        <v>8</v>
      </c>
      <c r="G374">
        <v>6</v>
      </c>
      <c r="H374">
        <v>13</v>
      </c>
      <c r="I374">
        <v>5</v>
      </c>
      <c r="J374" t="s">
        <v>834</v>
      </c>
      <c r="K374" t="s">
        <v>948</v>
      </c>
      <c r="O374" t="str">
        <f t="shared" si="5"/>
        <v>EPL</v>
      </c>
    </row>
    <row r="375" spans="1:15">
      <c r="A375">
        <v>36</v>
      </c>
      <c r="B375" t="s">
        <v>834</v>
      </c>
      <c r="C375" t="s">
        <v>946</v>
      </c>
      <c r="D375" t="s">
        <v>947</v>
      </c>
      <c r="E375">
        <v>919272</v>
      </c>
      <c r="F375">
        <v>8</v>
      </c>
      <c r="G375">
        <v>21</v>
      </c>
      <c r="H375">
        <v>11</v>
      </c>
      <c r="I375">
        <v>11249</v>
      </c>
      <c r="J375" t="s">
        <v>834</v>
      </c>
      <c r="K375" t="s">
        <v>948</v>
      </c>
      <c r="O375" t="str">
        <f t="shared" si="5"/>
        <v>EPL</v>
      </c>
    </row>
    <row r="376" spans="1:15">
      <c r="A376">
        <v>36</v>
      </c>
      <c r="B376" t="s">
        <v>834</v>
      </c>
      <c r="C376" t="s">
        <v>946</v>
      </c>
      <c r="D376" t="s">
        <v>947</v>
      </c>
      <c r="E376">
        <v>919268</v>
      </c>
      <c r="F376">
        <v>8</v>
      </c>
      <c r="G376">
        <v>4</v>
      </c>
      <c r="H376">
        <v>8</v>
      </c>
      <c r="I376">
        <v>31</v>
      </c>
      <c r="J376" t="s">
        <v>834</v>
      </c>
      <c r="K376" t="s">
        <v>948</v>
      </c>
      <c r="O376" t="str">
        <f t="shared" si="5"/>
        <v>EPL</v>
      </c>
    </row>
    <row r="377" spans="1:15">
      <c r="A377">
        <v>36</v>
      </c>
      <c r="B377" t="s">
        <v>834</v>
      </c>
      <c r="C377" t="s">
        <v>946</v>
      </c>
      <c r="D377" t="s">
        <v>947</v>
      </c>
      <c r="E377">
        <v>919267</v>
      </c>
      <c r="F377">
        <v>8</v>
      </c>
      <c r="G377">
        <v>1</v>
      </c>
      <c r="H377">
        <v>57</v>
      </c>
      <c r="I377">
        <v>28</v>
      </c>
      <c r="J377" t="s">
        <v>834</v>
      </c>
      <c r="K377" t="s">
        <v>948</v>
      </c>
      <c r="O377" t="str">
        <f t="shared" si="5"/>
        <v>EPL</v>
      </c>
    </row>
    <row r="378" spans="1:15">
      <c r="A378">
        <v>36</v>
      </c>
      <c r="B378" t="s">
        <v>834</v>
      </c>
      <c r="C378" t="s">
        <v>946</v>
      </c>
      <c r="D378" t="s">
        <v>947</v>
      </c>
      <c r="E378">
        <v>919264</v>
      </c>
      <c r="F378">
        <v>8</v>
      </c>
      <c r="G378">
        <v>31</v>
      </c>
      <c r="H378">
        <v>35</v>
      </c>
      <c r="I378">
        <v>48</v>
      </c>
      <c r="J378" t="s">
        <v>834</v>
      </c>
      <c r="K378" t="s">
        <v>948</v>
      </c>
      <c r="O378" t="str">
        <f t="shared" si="5"/>
        <v>EPL</v>
      </c>
    </row>
    <row r="379" spans="1:15">
      <c r="A379">
        <v>36</v>
      </c>
      <c r="B379" t="s">
        <v>834</v>
      </c>
      <c r="C379" t="s">
        <v>946</v>
      </c>
      <c r="D379" t="s">
        <v>947</v>
      </c>
      <c r="E379">
        <v>919265</v>
      </c>
      <c r="F379">
        <v>8</v>
      </c>
      <c r="G379">
        <v>38</v>
      </c>
      <c r="H379">
        <v>3</v>
      </c>
      <c r="I379">
        <v>54</v>
      </c>
      <c r="J379" t="s">
        <v>834</v>
      </c>
      <c r="K379" t="s">
        <v>948</v>
      </c>
      <c r="O379" t="str">
        <f t="shared" si="5"/>
        <v>EPL</v>
      </c>
    </row>
    <row r="380" spans="1:15">
      <c r="A380">
        <v>36</v>
      </c>
      <c r="B380" t="s">
        <v>834</v>
      </c>
      <c r="C380" t="s">
        <v>946</v>
      </c>
      <c r="D380" t="s">
        <v>947</v>
      </c>
      <c r="E380">
        <v>919266</v>
      </c>
      <c r="F380">
        <v>8</v>
      </c>
      <c r="G380">
        <v>14</v>
      </c>
      <c r="H380">
        <v>36</v>
      </c>
      <c r="I380">
        <v>39</v>
      </c>
      <c r="J380" t="s">
        <v>834</v>
      </c>
      <c r="K380" t="s">
        <v>948</v>
      </c>
      <c r="O380" t="str">
        <f t="shared" si="5"/>
        <v>EPL</v>
      </c>
    </row>
    <row r="381" spans="1:15">
      <c r="A381">
        <v>36</v>
      </c>
      <c r="B381" t="s">
        <v>834</v>
      </c>
      <c r="C381" t="s">
        <v>946</v>
      </c>
      <c r="D381" t="s">
        <v>947</v>
      </c>
      <c r="E381">
        <v>919263</v>
      </c>
      <c r="F381">
        <v>8</v>
      </c>
      <c r="G381">
        <v>90</v>
      </c>
      <c r="H381">
        <v>91</v>
      </c>
      <c r="I381">
        <v>88</v>
      </c>
      <c r="J381" t="s">
        <v>834</v>
      </c>
      <c r="K381" t="s">
        <v>948</v>
      </c>
      <c r="O381" t="str">
        <f t="shared" si="5"/>
        <v>EPL</v>
      </c>
    </row>
  </sheetData>
  <pageMargins left="0.7" right="0.7" top="0.75" bottom="0.75" header="0.3" footer="0.3"/>
  <pageSetup paperSize="9" orientation="portrait" r:id="rId1"/>
  <headerFooter>
    <oddFooter>&amp;C&amp;1#&amp;"Calibri"&amp;8 Sensitivity: XLC Internal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D118"/>
  <sheetViews>
    <sheetView tabSelected="1" workbookViewId="0">
      <selection activeCell="D1" sqref="A1:D1048576"/>
    </sheetView>
  </sheetViews>
  <sheetFormatPr defaultRowHeight="15"/>
  <cols>
    <col min="1" max="1" width="11.42578125" bestFit="1" customWidth="1"/>
    <col min="2" max="2" width="16.7109375" bestFit="1" customWidth="1"/>
    <col min="3" max="3" width="27.42578125" bestFit="1" customWidth="1"/>
    <col min="4" max="4" width="4" bestFit="1" customWidth="1"/>
  </cols>
  <sheetData>
    <row r="1" spans="1:4">
      <c r="A1" t="s">
        <v>34</v>
      </c>
      <c r="B1" t="s">
        <v>1040</v>
      </c>
      <c r="C1" t="s">
        <v>1041</v>
      </c>
      <c r="D1">
        <v>253</v>
      </c>
    </row>
    <row r="2" spans="1:4">
      <c r="A2" t="s">
        <v>359</v>
      </c>
      <c r="B2" t="s">
        <v>1042</v>
      </c>
      <c r="C2" t="s">
        <v>1043</v>
      </c>
      <c r="D2">
        <v>246</v>
      </c>
    </row>
    <row r="3" spans="1:4">
      <c r="A3" t="s">
        <v>358</v>
      </c>
      <c r="B3" t="s">
        <v>1044</v>
      </c>
      <c r="C3" t="s">
        <v>1045</v>
      </c>
      <c r="D3">
        <v>236</v>
      </c>
    </row>
    <row r="4" spans="1:4">
      <c r="A4" t="s">
        <v>117</v>
      </c>
      <c r="B4" t="s">
        <v>1046</v>
      </c>
      <c r="C4" t="s">
        <v>1047</v>
      </c>
      <c r="D4">
        <v>235</v>
      </c>
    </row>
    <row r="5" spans="1:4">
      <c r="A5" t="s">
        <v>1048</v>
      </c>
      <c r="B5" t="s">
        <v>1049</v>
      </c>
      <c r="C5" t="s">
        <v>1050</v>
      </c>
      <c r="D5">
        <v>227</v>
      </c>
    </row>
    <row r="6" spans="1:4">
      <c r="A6" t="s">
        <v>48</v>
      </c>
      <c r="B6" t="s">
        <v>1051</v>
      </c>
      <c r="C6" t="s">
        <v>1052</v>
      </c>
      <c r="D6">
        <v>222</v>
      </c>
    </row>
    <row r="7" spans="1:4">
      <c r="A7" t="s">
        <v>48</v>
      </c>
      <c r="B7" t="s">
        <v>109</v>
      </c>
      <c r="C7" t="s">
        <v>1053</v>
      </c>
      <c r="D7">
        <v>222</v>
      </c>
    </row>
    <row r="8" spans="1:4">
      <c r="A8" t="s">
        <v>323</v>
      </c>
      <c r="B8" t="s">
        <v>1054</v>
      </c>
      <c r="C8" t="s">
        <v>1055</v>
      </c>
      <c r="D8">
        <v>222</v>
      </c>
    </row>
    <row r="9" spans="1:4">
      <c r="A9" t="s">
        <v>1056</v>
      </c>
      <c r="B9" t="s">
        <v>1057</v>
      </c>
      <c r="C9" t="s">
        <v>1058</v>
      </c>
      <c r="D9">
        <v>221</v>
      </c>
    </row>
    <row r="10" spans="1:4">
      <c r="A10" t="s">
        <v>146</v>
      </c>
      <c r="B10" t="s">
        <v>1059</v>
      </c>
      <c r="C10" t="s">
        <v>1060</v>
      </c>
      <c r="D10">
        <v>219</v>
      </c>
    </row>
    <row r="11" spans="1:4">
      <c r="A11" t="s">
        <v>3</v>
      </c>
      <c r="B11" t="s">
        <v>1061</v>
      </c>
      <c r="C11" t="s">
        <v>1062</v>
      </c>
      <c r="D11">
        <v>216</v>
      </c>
    </row>
    <row r="12" spans="1:4">
      <c r="A12" t="s">
        <v>1044</v>
      </c>
      <c r="B12" t="s">
        <v>1063</v>
      </c>
      <c r="C12" t="s">
        <v>1064</v>
      </c>
      <c r="D12">
        <v>214</v>
      </c>
    </row>
    <row r="13" spans="1:4">
      <c r="A13" t="s">
        <v>238</v>
      </c>
      <c r="B13" t="s">
        <v>1065</v>
      </c>
      <c r="C13" t="s">
        <v>1066</v>
      </c>
      <c r="D13">
        <v>212</v>
      </c>
    </row>
    <row r="14" spans="1:4">
      <c r="A14" t="s">
        <v>117</v>
      </c>
      <c r="B14" t="s">
        <v>1067</v>
      </c>
      <c r="C14" t="s">
        <v>1068</v>
      </c>
      <c r="D14">
        <v>211</v>
      </c>
    </row>
    <row r="15" spans="1:4">
      <c r="A15" t="s">
        <v>346</v>
      </c>
      <c r="B15" t="s">
        <v>1069</v>
      </c>
      <c r="C15" t="s">
        <v>1070</v>
      </c>
      <c r="D15">
        <v>211</v>
      </c>
    </row>
    <row r="16" spans="1:4">
      <c r="A16" t="s">
        <v>92</v>
      </c>
      <c r="B16" t="s">
        <v>1071</v>
      </c>
      <c r="C16" t="s">
        <v>1072</v>
      </c>
      <c r="D16">
        <v>210</v>
      </c>
    </row>
    <row r="17" spans="1:4">
      <c r="A17" t="s">
        <v>1073</v>
      </c>
      <c r="B17" t="s">
        <v>228</v>
      </c>
      <c r="C17" t="s">
        <v>1074</v>
      </c>
      <c r="D17">
        <v>209</v>
      </c>
    </row>
    <row r="18" spans="1:4">
      <c r="A18" t="s">
        <v>337</v>
      </c>
      <c r="B18" t="s">
        <v>1075</v>
      </c>
      <c r="C18" t="s">
        <v>1076</v>
      </c>
      <c r="D18">
        <v>209</v>
      </c>
    </row>
    <row r="19" spans="1:4">
      <c r="A19" t="s">
        <v>238</v>
      </c>
      <c r="B19" t="s">
        <v>1077</v>
      </c>
      <c r="C19" t="s">
        <v>1078</v>
      </c>
      <c r="D19">
        <v>207</v>
      </c>
    </row>
    <row r="20" spans="1:4">
      <c r="A20" t="s">
        <v>315</v>
      </c>
      <c r="B20" t="s">
        <v>1079</v>
      </c>
      <c r="C20" t="s">
        <v>1080</v>
      </c>
      <c r="D20">
        <v>207</v>
      </c>
    </row>
    <row r="21" spans="1:4">
      <c r="A21" t="s">
        <v>1081</v>
      </c>
      <c r="B21" t="s">
        <v>1082</v>
      </c>
      <c r="C21" t="s">
        <v>1083</v>
      </c>
      <c r="D21">
        <v>204</v>
      </c>
    </row>
    <row r="22" spans="1:4">
      <c r="A22" t="s">
        <v>34</v>
      </c>
      <c r="B22" t="s">
        <v>395</v>
      </c>
      <c r="C22" t="s">
        <v>1084</v>
      </c>
      <c r="D22">
        <v>204</v>
      </c>
    </row>
    <row r="23" spans="1:4">
      <c r="A23" t="s">
        <v>1085</v>
      </c>
      <c r="B23" t="s">
        <v>1086</v>
      </c>
      <c r="C23" t="s">
        <v>1087</v>
      </c>
      <c r="D23">
        <v>203</v>
      </c>
    </row>
    <row r="24" spans="1:4">
      <c r="A24" t="s">
        <v>1081</v>
      </c>
      <c r="B24" t="s">
        <v>1088</v>
      </c>
      <c r="C24" t="s">
        <v>1089</v>
      </c>
      <c r="D24">
        <v>202</v>
      </c>
    </row>
    <row r="25" spans="1:4">
      <c r="A25" t="s">
        <v>1090</v>
      </c>
      <c r="B25" t="s">
        <v>201</v>
      </c>
      <c r="C25" t="s">
        <v>1091</v>
      </c>
      <c r="D25">
        <v>201</v>
      </c>
    </row>
    <row r="26" spans="1:4">
      <c r="A26" t="s">
        <v>253</v>
      </c>
      <c r="B26" t="s">
        <v>1092</v>
      </c>
      <c r="C26" t="s">
        <v>1093</v>
      </c>
      <c r="D26">
        <v>201</v>
      </c>
    </row>
    <row r="27" spans="1:4">
      <c r="A27" t="s">
        <v>3</v>
      </c>
      <c r="B27" t="s">
        <v>1094</v>
      </c>
      <c r="C27" t="s">
        <v>1095</v>
      </c>
      <c r="D27">
        <v>200</v>
      </c>
    </row>
    <row r="28" spans="1:4">
      <c r="A28" t="s">
        <v>343</v>
      </c>
      <c r="B28" t="s">
        <v>1096</v>
      </c>
      <c r="C28" t="s">
        <v>1097</v>
      </c>
      <c r="D28">
        <v>199</v>
      </c>
    </row>
    <row r="29" spans="1:4">
      <c r="A29" t="s">
        <v>1098</v>
      </c>
      <c r="B29" t="s">
        <v>1099</v>
      </c>
      <c r="C29" t="s">
        <v>1100</v>
      </c>
      <c r="D29">
        <v>199</v>
      </c>
    </row>
    <row r="30" spans="1:4">
      <c r="A30" t="s">
        <v>117</v>
      </c>
      <c r="B30" t="s">
        <v>1101</v>
      </c>
      <c r="C30" t="s">
        <v>1102</v>
      </c>
      <c r="D30">
        <v>197</v>
      </c>
    </row>
    <row r="31" spans="1:4">
      <c r="A31" t="s">
        <v>1103</v>
      </c>
      <c r="B31" t="s">
        <v>1104</v>
      </c>
      <c r="C31" t="s">
        <v>1105</v>
      </c>
      <c r="D31">
        <v>190</v>
      </c>
    </row>
    <row r="32" spans="1:4">
      <c r="A32" t="s">
        <v>337</v>
      </c>
      <c r="B32" t="s">
        <v>1106</v>
      </c>
      <c r="C32" t="s">
        <v>1107</v>
      </c>
      <c r="D32">
        <v>190</v>
      </c>
    </row>
    <row r="33" spans="1:4">
      <c r="A33" t="s">
        <v>1108</v>
      </c>
      <c r="B33" t="s">
        <v>1109</v>
      </c>
      <c r="C33" t="s">
        <v>1110</v>
      </c>
      <c r="D33">
        <v>190</v>
      </c>
    </row>
    <row r="34" spans="1:4">
      <c r="A34" t="s">
        <v>1111</v>
      </c>
      <c r="B34" t="s">
        <v>1112</v>
      </c>
      <c r="C34" t="s">
        <v>1113</v>
      </c>
      <c r="D34">
        <v>189</v>
      </c>
    </row>
    <row r="35" spans="1:4">
      <c r="A35" t="s">
        <v>441</v>
      </c>
      <c r="B35" t="s">
        <v>1114</v>
      </c>
      <c r="C35" t="s">
        <v>1115</v>
      </c>
      <c r="D35">
        <v>186</v>
      </c>
    </row>
    <row r="36" spans="1:4">
      <c r="A36" t="s">
        <v>1116</v>
      </c>
      <c r="B36" t="s">
        <v>1117</v>
      </c>
      <c r="C36" t="s">
        <v>1118</v>
      </c>
      <c r="D36">
        <v>185</v>
      </c>
    </row>
    <row r="37" spans="1:4">
      <c r="A37" t="s">
        <v>1119</v>
      </c>
      <c r="B37" t="s">
        <v>1120</v>
      </c>
      <c r="C37" t="s">
        <v>1121</v>
      </c>
      <c r="D37">
        <v>184</v>
      </c>
    </row>
    <row r="38" spans="1:4">
      <c r="A38" t="s">
        <v>34</v>
      </c>
      <c r="B38" t="s">
        <v>1122</v>
      </c>
      <c r="C38" t="s">
        <v>1123</v>
      </c>
      <c r="D38">
        <v>184</v>
      </c>
    </row>
    <row r="39" spans="1:4">
      <c r="A39" t="s">
        <v>3</v>
      </c>
      <c r="B39" t="s">
        <v>1124</v>
      </c>
      <c r="C39" t="s">
        <v>1125</v>
      </c>
      <c r="D39">
        <v>183</v>
      </c>
    </row>
    <row r="40" spans="1:4">
      <c r="A40" t="s">
        <v>1126</v>
      </c>
      <c r="B40" t="s">
        <v>1127</v>
      </c>
      <c r="C40" t="s">
        <v>1128</v>
      </c>
      <c r="D40">
        <v>183</v>
      </c>
    </row>
    <row r="41" spans="1:4">
      <c r="A41" t="s">
        <v>30</v>
      </c>
      <c r="B41" t="s">
        <v>1129</v>
      </c>
      <c r="C41" t="s">
        <v>1130</v>
      </c>
      <c r="D41">
        <v>182</v>
      </c>
    </row>
    <row r="42" spans="1:4">
      <c r="A42" t="s">
        <v>359</v>
      </c>
      <c r="B42" t="s">
        <v>1131</v>
      </c>
      <c r="C42" t="s">
        <v>1132</v>
      </c>
      <c r="D42">
        <v>182</v>
      </c>
    </row>
    <row r="43" spans="1:4">
      <c r="A43" t="s">
        <v>1133</v>
      </c>
      <c r="B43" t="s">
        <v>1134</v>
      </c>
      <c r="C43" t="s">
        <v>1135</v>
      </c>
      <c r="D43">
        <v>182</v>
      </c>
    </row>
    <row r="44" spans="1:4">
      <c r="A44" t="s">
        <v>1136</v>
      </c>
      <c r="B44" t="s">
        <v>1137</v>
      </c>
      <c r="C44" t="s">
        <v>1138</v>
      </c>
      <c r="D44">
        <v>181</v>
      </c>
    </row>
    <row r="45" spans="1:4">
      <c r="A45" t="s">
        <v>427</v>
      </c>
      <c r="B45" t="s">
        <v>1139</v>
      </c>
      <c r="C45" t="s">
        <v>1140</v>
      </c>
      <c r="D45">
        <v>181</v>
      </c>
    </row>
    <row r="46" spans="1:4">
      <c r="A46" t="s">
        <v>238</v>
      </c>
      <c r="B46" t="s">
        <v>230</v>
      </c>
      <c r="C46" t="s">
        <v>1141</v>
      </c>
      <c r="D46">
        <v>180</v>
      </c>
    </row>
    <row r="47" spans="1:4">
      <c r="A47" t="s">
        <v>358</v>
      </c>
      <c r="B47" t="s">
        <v>327</v>
      </c>
      <c r="C47" t="s">
        <v>1142</v>
      </c>
      <c r="D47">
        <v>179</v>
      </c>
    </row>
    <row r="48" spans="1:4">
      <c r="A48" t="s">
        <v>44</v>
      </c>
      <c r="B48" t="s">
        <v>392</v>
      </c>
      <c r="C48" t="s">
        <v>1143</v>
      </c>
      <c r="D48">
        <v>178</v>
      </c>
    </row>
    <row r="49" spans="1:4">
      <c r="A49" t="s">
        <v>1144</v>
      </c>
      <c r="B49" t="s">
        <v>1145</v>
      </c>
      <c r="C49" t="s">
        <v>1146</v>
      </c>
      <c r="D49">
        <v>178</v>
      </c>
    </row>
    <row r="50" spans="1:4">
      <c r="A50" t="s">
        <v>1147</v>
      </c>
      <c r="B50" t="s">
        <v>1148</v>
      </c>
      <c r="C50" t="s">
        <v>1149</v>
      </c>
      <c r="D50">
        <v>178</v>
      </c>
    </row>
    <row r="51" spans="1:4">
      <c r="A51" t="s">
        <v>1150</v>
      </c>
      <c r="B51" t="s">
        <v>1151</v>
      </c>
      <c r="C51" t="s">
        <v>1152</v>
      </c>
      <c r="D51">
        <v>176</v>
      </c>
    </row>
    <row r="52" spans="1:4">
      <c r="A52" t="s">
        <v>1153</v>
      </c>
      <c r="B52" t="s">
        <v>1154</v>
      </c>
      <c r="C52" t="s">
        <v>1155</v>
      </c>
      <c r="D52">
        <v>175</v>
      </c>
    </row>
    <row r="53" spans="1:4">
      <c r="A53" t="s">
        <v>117</v>
      </c>
      <c r="B53" t="s">
        <v>1156</v>
      </c>
      <c r="C53" t="s">
        <v>1157</v>
      </c>
      <c r="D53">
        <v>175</v>
      </c>
    </row>
    <row r="54" spans="1:4">
      <c r="A54" t="s">
        <v>247</v>
      </c>
      <c r="B54" t="s">
        <v>1158</v>
      </c>
      <c r="C54" t="s">
        <v>1159</v>
      </c>
      <c r="D54">
        <v>175</v>
      </c>
    </row>
    <row r="55" spans="1:4">
      <c r="A55" t="s">
        <v>1160</v>
      </c>
      <c r="B55" t="s">
        <v>1161</v>
      </c>
      <c r="C55" t="s">
        <v>1162</v>
      </c>
      <c r="D55">
        <v>175</v>
      </c>
    </row>
    <row r="56" spans="1:4">
      <c r="A56" t="s">
        <v>479</v>
      </c>
      <c r="B56" t="s">
        <v>1163</v>
      </c>
      <c r="C56" t="s">
        <v>1164</v>
      </c>
      <c r="D56">
        <v>174</v>
      </c>
    </row>
    <row r="57" spans="1:4">
      <c r="A57" t="s">
        <v>1165</v>
      </c>
      <c r="B57" t="s">
        <v>1166</v>
      </c>
      <c r="C57" t="s">
        <v>1167</v>
      </c>
      <c r="D57">
        <v>174</v>
      </c>
    </row>
    <row r="58" spans="1:4">
      <c r="A58" t="s">
        <v>744</v>
      </c>
      <c r="B58" t="s">
        <v>1168</v>
      </c>
      <c r="C58" t="s">
        <v>1169</v>
      </c>
      <c r="D58">
        <v>174</v>
      </c>
    </row>
    <row r="59" spans="1:4">
      <c r="A59" t="s">
        <v>175</v>
      </c>
      <c r="B59" t="s">
        <v>1170</v>
      </c>
      <c r="C59" t="s">
        <v>1171</v>
      </c>
      <c r="D59">
        <v>174</v>
      </c>
    </row>
    <row r="60" spans="1:4">
      <c r="A60" t="s">
        <v>175</v>
      </c>
      <c r="B60" t="s">
        <v>1172</v>
      </c>
      <c r="C60" t="s">
        <v>1173</v>
      </c>
      <c r="D60">
        <v>173</v>
      </c>
    </row>
    <row r="61" spans="1:4">
      <c r="A61" t="s">
        <v>1174</v>
      </c>
      <c r="B61" t="s">
        <v>1175</v>
      </c>
      <c r="C61" t="s">
        <v>1176</v>
      </c>
      <c r="D61">
        <v>173</v>
      </c>
    </row>
    <row r="62" spans="1:4">
      <c r="A62" t="s">
        <v>321</v>
      </c>
      <c r="B62" t="s">
        <v>1177</v>
      </c>
      <c r="C62" t="s">
        <v>1178</v>
      </c>
      <c r="D62">
        <v>172</v>
      </c>
    </row>
    <row r="63" spans="1:4">
      <c r="A63" t="s">
        <v>34</v>
      </c>
      <c r="B63" t="s">
        <v>1179</v>
      </c>
      <c r="C63" t="s">
        <v>1180</v>
      </c>
      <c r="D63">
        <v>171</v>
      </c>
    </row>
    <row r="64" spans="1:4">
      <c r="A64" t="s">
        <v>1181</v>
      </c>
      <c r="B64" t="s">
        <v>1046</v>
      </c>
      <c r="C64" t="s">
        <v>1182</v>
      </c>
      <c r="D64">
        <v>171</v>
      </c>
    </row>
    <row r="65" spans="1:4">
      <c r="A65" t="s">
        <v>337</v>
      </c>
      <c r="B65" t="s">
        <v>1183</v>
      </c>
      <c r="C65" t="s">
        <v>1184</v>
      </c>
      <c r="D65">
        <v>170</v>
      </c>
    </row>
    <row r="66" spans="1:4">
      <c r="A66" t="s">
        <v>34</v>
      </c>
      <c r="B66" t="s">
        <v>1185</v>
      </c>
      <c r="C66" t="s">
        <v>1186</v>
      </c>
      <c r="D66">
        <v>170</v>
      </c>
    </row>
    <row r="67" spans="1:4">
      <c r="A67" t="s">
        <v>1187</v>
      </c>
      <c r="B67" t="s">
        <v>1188</v>
      </c>
      <c r="C67" t="s">
        <v>1189</v>
      </c>
      <c r="D67">
        <v>169</v>
      </c>
    </row>
    <row r="68" spans="1:4">
      <c r="A68" t="s">
        <v>1190</v>
      </c>
      <c r="B68" t="s">
        <v>1191</v>
      </c>
      <c r="C68" t="s">
        <v>1192</v>
      </c>
      <c r="D68">
        <v>169</v>
      </c>
    </row>
    <row r="69" spans="1:4">
      <c r="A69" t="s">
        <v>1193</v>
      </c>
      <c r="B69" t="s">
        <v>1194</v>
      </c>
      <c r="C69" t="s">
        <v>1195</v>
      </c>
      <c r="D69">
        <v>167</v>
      </c>
    </row>
    <row r="70" spans="1:4">
      <c r="A70" t="s">
        <v>1196</v>
      </c>
      <c r="B70" t="s">
        <v>1197</v>
      </c>
      <c r="C70" t="s">
        <v>1198</v>
      </c>
      <c r="D70">
        <v>167</v>
      </c>
    </row>
    <row r="71" spans="1:4">
      <c r="A71" t="s">
        <v>1199</v>
      </c>
      <c r="B71" t="s">
        <v>1200</v>
      </c>
      <c r="C71" t="s">
        <v>1201</v>
      </c>
      <c r="D71">
        <v>167</v>
      </c>
    </row>
    <row r="72" spans="1:4">
      <c r="A72" t="s">
        <v>390</v>
      </c>
      <c r="B72" t="s">
        <v>1202</v>
      </c>
      <c r="C72" t="s">
        <v>1203</v>
      </c>
      <c r="D72">
        <v>167</v>
      </c>
    </row>
    <row r="73" spans="1:4">
      <c r="A73" t="s">
        <v>1204</v>
      </c>
      <c r="B73" t="s">
        <v>1205</v>
      </c>
      <c r="C73" t="s">
        <v>1206</v>
      </c>
      <c r="D73">
        <v>166</v>
      </c>
    </row>
    <row r="74" spans="1:4">
      <c r="A74" t="s">
        <v>1207</v>
      </c>
      <c r="B74" t="s">
        <v>1208</v>
      </c>
      <c r="C74" t="s">
        <v>1209</v>
      </c>
      <c r="D74">
        <v>166</v>
      </c>
    </row>
    <row r="75" spans="1:4">
      <c r="A75" t="s">
        <v>1210</v>
      </c>
      <c r="B75" t="s">
        <v>1077</v>
      </c>
      <c r="C75" t="s">
        <v>1211</v>
      </c>
      <c r="D75">
        <v>165</v>
      </c>
    </row>
    <row r="76" spans="1:4">
      <c r="A76" t="s">
        <v>247</v>
      </c>
      <c r="B76" t="s">
        <v>1075</v>
      </c>
      <c r="C76" t="s">
        <v>1212</v>
      </c>
      <c r="D76">
        <v>163</v>
      </c>
    </row>
    <row r="77" spans="1:4">
      <c r="A77" t="s">
        <v>34</v>
      </c>
      <c r="B77" t="s">
        <v>1213</v>
      </c>
      <c r="C77" t="s">
        <v>1214</v>
      </c>
      <c r="D77">
        <v>163</v>
      </c>
    </row>
    <row r="78" spans="1:4">
      <c r="A78" t="s">
        <v>193</v>
      </c>
      <c r="B78" t="s">
        <v>1215</v>
      </c>
      <c r="C78" t="s">
        <v>1216</v>
      </c>
      <c r="D78">
        <v>162</v>
      </c>
    </row>
    <row r="79" spans="1:4">
      <c r="A79" t="s">
        <v>1217</v>
      </c>
      <c r="B79" t="s">
        <v>1218</v>
      </c>
      <c r="C79" t="s">
        <v>1219</v>
      </c>
      <c r="D79">
        <v>162</v>
      </c>
    </row>
    <row r="80" spans="1:4">
      <c r="A80" t="s">
        <v>1220</v>
      </c>
      <c r="B80" t="s">
        <v>1071</v>
      </c>
      <c r="C80" t="s">
        <v>1221</v>
      </c>
      <c r="D80">
        <v>162</v>
      </c>
    </row>
    <row r="81" spans="1:4">
      <c r="A81" t="s">
        <v>1222</v>
      </c>
      <c r="B81" t="s">
        <v>1223</v>
      </c>
      <c r="C81" t="s">
        <v>1224</v>
      </c>
      <c r="D81">
        <v>161</v>
      </c>
    </row>
    <row r="82" spans="1:4">
      <c r="A82" t="s">
        <v>1</v>
      </c>
      <c r="B82" t="s">
        <v>1225</v>
      </c>
      <c r="C82" t="s">
        <v>1226</v>
      </c>
      <c r="D82">
        <v>160</v>
      </c>
    </row>
    <row r="83" spans="1:4">
      <c r="A83" t="s">
        <v>1227</v>
      </c>
      <c r="B83" t="s">
        <v>1228</v>
      </c>
      <c r="C83" t="s">
        <v>1229</v>
      </c>
      <c r="D83">
        <v>158</v>
      </c>
    </row>
    <row r="84" spans="1:4">
      <c r="A84" t="s">
        <v>44</v>
      </c>
      <c r="B84" t="s">
        <v>229</v>
      </c>
      <c r="C84" t="s">
        <v>1230</v>
      </c>
      <c r="D84">
        <v>158</v>
      </c>
    </row>
    <row r="85" spans="1:4">
      <c r="A85" t="s">
        <v>3</v>
      </c>
      <c r="B85" t="s">
        <v>467</v>
      </c>
      <c r="C85" t="s">
        <v>1231</v>
      </c>
      <c r="D85">
        <v>157</v>
      </c>
    </row>
    <row r="86" spans="1:4">
      <c r="A86" t="s">
        <v>1232</v>
      </c>
      <c r="B86" t="s">
        <v>1071</v>
      </c>
      <c r="C86" t="s">
        <v>1233</v>
      </c>
      <c r="D86">
        <v>157</v>
      </c>
    </row>
    <row r="87" spans="1:4">
      <c r="A87" t="s">
        <v>117</v>
      </c>
      <c r="B87" t="s">
        <v>1044</v>
      </c>
      <c r="C87" t="s">
        <v>1234</v>
      </c>
      <c r="D87">
        <v>156</v>
      </c>
    </row>
    <row r="88" spans="1:4">
      <c r="A88" t="s">
        <v>358</v>
      </c>
      <c r="B88" t="s">
        <v>1235</v>
      </c>
      <c r="C88" t="s">
        <v>1236</v>
      </c>
      <c r="D88">
        <v>155</v>
      </c>
    </row>
    <row r="89" spans="1:4">
      <c r="A89" t="s">
        <v>1237</v>
      </c>
      <c r="B89" t="s">
        <v>1238</v>
      </c>
      <c r="C89" t="s">
        <v>1239</v>
      </c>
      <c r="D89">
        <v>154</v>
      </c>
    </row>
    <row r="90" spans="1:4">
      <c r="A90" t="s">
        <v>1240</v>
      </c>
      <c r="B90" t="s">
        <v>297</v>
      </c>
      <c r="C90" t="s">
        <v>1241</v>
      </c>
      <c r="D90">
        <v>154</v>
      </c>
    </row>
    <row r="91" spans="1:4">
      <c r="A91" t="s">
        <v>1242</v>
      </c>
      <c r="B91" t="s">
        <v>1243</v>
      </c>
      <c r="C91" t="s">
        <v>1244</v>
      </c>
      <c r="D91">
        <v>152</v>
      </c>
    </row>
    <row r="92" spans="1:4">
      <c r="A92" t="s">
        <v>358</v>
      </c>
      <c r="B92" t="s">
        <v>1245</v>
      </c>
      <c r="C92" t="s">
        <v>1246</v>
      </c>
      <c r="D92">
        <v>150</v>
      </c>
    </row>
    <row r="93" spans="1:4">
      <c r="A93" t="s">
        <v>337</v>
      </c>
      <c r="B93" t="s">
        <v>1247</v>
      </c>
      <c r="C93" t="s">
        <v>1248</v>
      </c>
      <c r="D93">
        <v>150</v>
      </c>
    </row>
    <row r="94" spans="1:4">
      <c r="A94" t="s">
        <v>796</v>
      </c>
      <c r="B94" t="s">
        <v>1249</v>
      </c>
      <c r="C94" t="s">
        <v>1250</v>
      </c>
      <c r="D94">
        <v>148</v>
      </c>
    </row>
    <row r="95" spans="1:4">
      <c r="A95" t="s">
        <v>149</v>
      </c>
      <c r="B95" t="s">
        <v>1251</v>
      </c>
      <c r="C95" t="s">
        <v>1252</v>
      </c>
      <c r="D95">
        <v>148</v>
      </c>
    </row>
    <row r="96" spans="1:4">
      <c r="A96" t="s">
        <v>323</v>
      </c>
      <c r="B96" t="s">
        <v>1253</v>
      </c>
      <c r="C96" t="s">
        <v>1254</v>
      </c>
      <c r="D96">
        <v>145</v>
      </c>
    </row>
    <row r="97" spans="1:4">
      <c r="A97" t="s">
        <v>1255</v>
      </c>
      <c r="B97" t="s">
        <v>1256</v>
      </c>
      <c r="C97" t="s">
        <v>1257</v>
      </c>
      <c r="D97">
        <v>145</v>
      </c>
    </row>
    <row r="98" spans="1:4">
      <c r="A98" t="s">
        <v>30</v>
      </c>
      <c r="B98" t="s">
        <v>1258</v>
      </c>
      <c r="C98" t="s">
        <v>1259</v>
      </c>
      <c r="D98">
        <v>145</v>
      </c>
    </row>
    <row r="99" spans="1:4">
      <c r="A99" t="s">
        <v>140</v>
      </c>
      <c r="B99" t="s">
        <v>1260</v>
      </c>
      <c r="C99" t="s">
        <v>1261</v>
      </c>
      <c r="D99">
        <v>144</v>
      </c>
    </row>
    <row r="100" spans="1:4">
      <c r="A100" t="s">
        <v>1262</v>
      </c>
      <c r="B100" t="s">
        <v>1263</v>
      </c>
      <c r="C100" t="s">
        <v>1264</v>
      </c>
      <c r="D100">
        <v>144</v>
      </c>
    </row>
    <row r="101" spans="1:4">
      <c r="A101" t="s">
        <v>1265</v>
      </c>
      <c r="B101" t="s">
        <v>1266</v>
      </c>
      <c r="C101" t="s">
        <v>1267</v>
      </c>
      <c r="D101">
        <v>143</v>
      </c>
    </row>
    <row r="102" spans="1:4">
      <c r="A102" t="s">
        <v>44</v>
      </c>
      <c r="B102" t="s">
        <v>1268</v>
      </c>
      <c r="C102" t="s">
        <v>1269</v>
      </c>
      <c r="D102">
        <v>141</v>
      </c>
    </row>
    <row r="103" spans="1:4">
      <c r="A103" t="s">
        <v>1044</v>
      </c>
      <c r="B103" t="s">
        <v>142</v>
      </c>
      <c r="C103" t="s">
        <v>1270</v>
      </c>
      <c r="D103">
        <v>141</v>
      </c>
    </row>
    <row r="104" spans="1:4">
      <c r="A104" t="s">
        <v>1271</v>
      </c>
      <c r="B104" t="s">
        <v>1272</v>
      </c>
      <c r="C104" t="s">
        <v>1273</v>
      </c>
      <c r="D104">
        <v>140</v>
      </c>
    </row>
    <row r="105" spans="1:4">
      <c r="A105" t="s">
        <v>193</v>
      </c>
      <c r="B105" t="s">
        <v>1274</v>
      </c>
      <c r="C105" t="s">
        <v>1275</v>
      </c>
      <c r="D105">
        <v>138</v>
      </c>
    </row>
    <row r="106" spans="1:4">
      <c r="A106" t="s">
        <v>44</v>
      </c>
      <c r="B106" t="s">
        <v>1276</v>
      </c>
      <c r="C106" t="s">
        <v>1277</v>
      </c>
      <c r="D106">
        <v>137</v>
      </c>
    </row>
    <row r="107" spans="1:4">
      <c r="A107" t="s">
        <v>3</v>
      </c>
      <c r="B107" t="s">
        <v>1278</v>
      </c>
      <c r="C107" t="s">
        <v>1279</v>
      </c>
      <c r="D107">
        <v>135</v>
      </c>
    </row>
    <row r="108" spans="1:4">
      <c r="A108" t="s">
        <v>167</v>
      </c>
      <c r="B108" t="s">
        <v>1280</v>
      </c>
      <c r="C108" t="s">
        <v>1281</v>
      </c>
      <c r="D108">
        <v>132</v>
      </c>
    </row>
    <row r="109" spans="1:4">
      <c r="A109" t="s">
        <v>1282</v>
      </c>
      <c r="B109" t="s">
        <v>464</v>
      </c>
      <c r="C109" t="s">
        <v>1283</v>
      </c>
      <c r="D109">
        <v>127</v>
      </c>
    </row>
    <row r="110" spans="1:4">
      <c r="A110" t="s">
        <v>102</v>
      </c>
      <c r="B110" t="s">
        <v>1284</v>
      </c>
      <c r="C110" t="s">
        <v>1285</v>
      </c>
      <c r="D110">
        <v>127</v>
      </c>
    </row>
    <row r="111" spans="1:4">
      <c r="A111" t="s">
        <v>339</v>
      </c>
      <c r="B111" t="s">
        <v>1286</v>
      </c>
      <c r="C111" t="s">
        <v>1287</v>
      </c>
      <c r="D111">
        <v>125</v>
      </c>
    </row>
    <row r="112" spans="1:4">
      <c r="A112" t="s">
        <v>65</v>
      </c>
      <c r="B112" t="s">
        <v>1288</v>
      </c>
      <c r="C112" t="s">
        <v>1289</v>
      </c>
      <c r="D112">
        <v>121</v>
      </c>
    </row>
    <row r="113" spans="1:4">
      <c r="A113" t="s">
        <v>1290</v>
      </c>
      <c r="B113" t="s">
        <v>1291</v>
      </c>
      <c r="C113" t="s">
        <v>1292</v>
      </c>
      <c r="D113">
        <v>121</v>
      </c>
    </row>
    <row r="114" spans="1:4">
      <c r="A114" t="s">
        <v>1293</v>
      </c>
      <c r="B114" t="s">
        <v>1294</v>
      </c>
      <c r="C114" t="s">
        <v>1295</v>
      </c>
      <c r="D114">
        <v>117</v>
      </c>
    </row>
    <row r="115" spans="1:4">
      <c r="A115" t="s">
        <v>119</v>
      </c>
      <c r="B115" t="s">
        <v>275</v>
      </c>
      <c r="C115" t="s">
        <v>1296</v>
      </c>
      <c r="D115">
        <v>113</v>
      </c>
    </row>
    <row r="116" spans="1:4">
      <c r="A116" t="s">
        <v>60</v>
      </c>
      <c r="B116" t="s">
        <v>1297</v>
      </c>
      <c r="C116" t="s">
        <v>1298</v>
      </c>
      <c r="D116">
        <v>109</v>
      </c>
    </row>
    <row r="117" spans="1:4">
      <c r="A117" t="s">
        <v>149</v>
      </c>
      <c r="B117" t="s">
        <v>1299</v>
      </c>
      <c r="C117" t="s">
        <v>1300</v>
      </c>
      <c r="D117">
        <v>105</v>
      </c>
    </row>
    <row r="118" spans="1:4">
      <c r="A118" t="s">
        <v>1301</v>
      </c>
      <c r="B118" t="s">
        <v>1302</v>
      </c>
      <c r="C118" t="s">
        <v>1303</v>
      </c>
      <c r="D118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Players</vt:lpstr>
      <vt:lpstr>Squads</vt:lpstr>
      <vt:lpstr>League</vt:lpstr>
      <vt:lpstr>Gameweeks</vt:lpstr>
      <vt:lpstr>Running</vt:lpstr>
      <vt:lpstr>fwdnum</vt:lpstr>
      <vt:lpstr>getlineups</vt:lpstr>
      <vt:lpstr>glob</vt:lpstr>
      <vt:lpstr>leaguepin</vt:lpstr>
      <vt:lpstr>matches</vt:lpstr>
      <vt:lpstr>midnum</vt:lpstr>
      <vt:lpstr>my</vt:lpstr>
      <vt:lpstr>playerlook</vt:lpstr>
      <vt:lpstr>resul</vt:lpstr>
      <vt:lpstr>session</vt:lpstr>
      <vt:lpstr>size</vt:lpstr>
      <vt:lpstr>teamc</vt:lpstr>
      <vt:lpstr>vDEF</vt:lpstr>
      <vt:lpstr>vF</vt:lpstr>
      <vt:lpstr>vGK</vt:lpstr>
      <vt:lpstr>vMID</vt:lpstr>
      <vt:lpstr>vMIDF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John-Paul Knight</dc:creator>
  <cp:lastModifiedBy>Danielle</cp:lastModifiedBy>
  <dcterms:created xsi:type="dcterms:W3CDTF">2016-07-21T07:52:20Z</dcterms:created>
  <dcterms:modified xsi:type="dcterms:W3CDTF">2017-09-01T13:35:44Z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df0749-435c-47bb-bc94-a4b9e551edbc_Enabled">
    <vt:lpwstr>False</vt:lpwstr>
  </property>
  <property fmtid="{D5CDD505-2E9C-101B-9397-08002B2CF9AE}" pid="3" name="MSIP_Label_fadf0749-435c-47bb-bc94-a4b9e551edbc_SiteId">
    <vt:lpwstr>53b7cac7-14be-46d4-be43-f2ad9244d901</vt:lpwstr>
  </property>
  <property fmtid="{D5CDD505-2E9C-101B-9397-08002B2CF9AE}" pid="4" name="MSIP_Label_fadf0749-435c-47bb-bc94-a4b9e551edbc_SetBy">
    <vt:lpwstr>JohnPaul.Knight@xlgroup.com</vt:lpwstr>
  </property>
  <property fmtid="{D5CDD505-2E9C-101B-9397-08002B2CF9AE}" pid="5" name="MSIP_Label_fadf0749-435c-47bb-bc94-a4b9e551edbc_SetDate">
    <vt:lpwstr>2017-08-10T17:31:00.2034972+01:00</vt:lpwstr>
  </property>
  <property fmtid="{D5CDD505-2E9C-101B-9397-08002B2CF9AE}" pid="6" name="MSIP_Label_fadf0749-435c-47bb-bc94-a4b9e551edbc_Name">
    <vt:lpwstr>Internal</vt:lpwstr>
  </property>
  <property fmtid="{D5CDD505-2E9C-101B-9397-08002B2CF9AE}" pid="7" name="MSIP_Label_fadf0749-435c-47bb-bc94-a4b9e551edbc_Application">
    <vt:lpwstr>Microsoft Azure Information Protection</vt:lpwstr>
  </property>
  <property fmtid="{D5CDD505-2E9C-101B-9397-08002B2CF9AE}" pid="8" name="MSIP_Label_fadf0749-435c-47bb-bc94-a4b9e551edbc_Extended_MSFT_Method">
    <vt:lpwstr>Automatic</vt:lpwstr>
  </property>
  <property fmtid="{D5CDD505-2E9C-101B-9397-08002B2CF9AE}" pid="9" name="Sensitivity">
    <vt:lpwstr/>
  </property>
</Properties>
</file>